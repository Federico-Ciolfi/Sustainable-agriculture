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os" sheetId="1" state="visible" r:id="rId2"/>
    <sheet name="RDD 1" sheetId="2" state="visible" r:id="rId3"/>
    <sheet name="RDD 2" sheetId="3" state="visible" r:id="rId4"/>
    <sheet name="RDD 3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<sst xmlns="http://schemas.openxmlformats.org/spreadsheetml/2006/main" count="88" uniqueCount="16">
  <si>
    <t xml:space="preserve">year</t>
  </si>
  <si>
    <t xml:space="preserve">TA</t>
  </si>
  <si>
    <t xml:space="preserve">AA</t>
  </si>
  <si>
    <t xml:space="preserve">SAA</t>
  </si>
  <si>
    <t xml:space="preserve">accumulated_TA</t>
  </si>
  <si>
    <t xml:space="preserve">accumulated_AA</t>
  </si>
  <si>
    <t xml:space="preserve">accumulated_SAA</t>
  </si>
  <si>
    <t xml:space="preserve">RPG_TA</t>
  </si>
  <si>
    <t xml:space="preserve">RPG_AA</t>
  </si>
  <si>
    <t xml:space="preserve">RPG_SAA</t>
  </si>
  <si>
    <t xml:space="preserve">PST</t>
  </si>
  <si>
    <t xml:space="preserve">PSA</t>
  </si>
  <si>
    <t xml:space="preserve">&lt;1974</t>
  </si>
  <si>
    <t xml:space="preserve">Set</t>
  </si>
  <si>
    <t xml:space="preserve">pre</t>
  </si>
  <si>
    <t xml:space="preserve">post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</si>
</sst>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true" diagonalDown="false">
      <left/>
      <right/>
      <top/>
      <bottom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RDD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'RDD 1'!$B$1</c:f>
              <c:strCache>
                <c:ptCount val="1"/>
                <c:pt idx="0">
                  <c:v>PST</c:v>
                </c:pt>
              </c:strCache>
            </c:strRef>
          </c:tx>
          <c:spPr>
            <a:solidFill>
              <a:srgbClr val="5983b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5983b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'RDD 1'!$A$2:$A$20</c:f>
              <c:numCache>
                <c:formatCode>General</c:formatCode>
                <c:ptCount val="19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</c:numCache>
            </c:numRef>
          </c:xVal>
          <c:yVal>
            <c:numRef>
              <c:f>'RDD 1'!$B$2:$B$20</c:f>
              <c:numCache>
                <c:formatCode>General</c:formatCode>
                <c:ptCount val="19"/>
                <c:pt idx="0">
                  <c:v>0.000401512094548068</c:v>
                </c:pt>
                <c:pt idx="1">
                  <c:v>0</c:v>
                </c:pt>
                <c:pt idx="2">
                  <c:v>0.000198341468639239</c:v>
                </c:pt>
                <c:pt idx="3">
                  <c:v>0</c:v>
                </c:pt>
                <c:pt idx="4">
                  <c:v>0</c:v>
                </c:pt>
                <c:pt idx="5">
                  <c:v>0.000527585697503465</c:v>
                </c:pt>
                <c:pt idx="6">
                  <c:v>0.000524305949998689</c:v>
                </c:pt>
                <c:pt idx="7">
                  <c:v>0.000504436519186243</c:v>
                </c:pt>
                <c:pt idx="8">
                  <c:v>0.00114972357360366</c:v>
                </c:pt>
                <c:pt idx="9">
                  <c:v>0.00112887021056655</c:v>
                </c:pt>
                <c:pt idx="10">
                  <c:v>0.000909777377475732</c:v>
                </c:pt>
                <c:pt idx="11">
                  <c:v>0.000736254496674338</c:v>
                </c:pt>
                <c:pt idx="12">
                  <c:v>0.00327111280283814</c:v>
                </c:pt>
                <c:pt idx="13">
                  <c:v>0.00394319463024518</c:v>
                </c:pt>
                <c:pt idx="14">
                  <c:v>0.00561082215377019</c:v>
                </c:pt>
                <c:pt idx="15">
                  <c:v>0.00901604856644828</c:v>
                </c:pt>
                <c:pt idx="16">
                  <c:v>0.0183948539002664</c:v>
                </c:pt>
                <c:pt idx="17">
                  <c:v>0.0169272266872179</c:v>
                </c:pt>
                <c:pt idx="18">
                  <c:v>0.0286274585731632</c:v>
                </c:pt>
              </c:numCache>
            </c:numRef>
          </c:yVal>
          <c:smooth val="0"/>
        </c:ser>
        <c:axId val="10709559"/>
        <c:axId val="63693788"/>
      </c:scatterChart>
      <c:valAx>
        <c:axId val="10709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693788"/>
        <c:crosses val="autoZero"/>
        <c:crossBetween val="between"/>
      </c:valAx>
      <c:valAx>
        <c:axId val="636937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07095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RDD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'RDD 2'!$B$1</c:f>
              <c:strCache>
                <c:ptCount val="1"/>
                <c:pt idx="0">
                  <c:v>PST</c:v>
                </c:pt>
              </c:strCache>
            </c:strRef>
          </c:tx>
          <c:spPr>
            <a:solidFill>
              <a:srgbClr val="5983b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5983b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'RDD 2'!$A$2:$A$20</c:f>
              <c:numCache>
                <c:formatCode>General</c:formatCode>
                <c:ptCount val="19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</c:numCache>
            </c:numRef>
          </c:xVal>
          <c:yVal>
            <c:numRef>
              <c:f>'RDD 2'!$B$2:$B$20</c:f>
              <c:numCache>
                <c:formatCode>General</c:formatCode>
                <c:ptCount val="19"/>
                <c:pt idx="0">
                  <c:v>0.00327111280283814</c:v>
                </c:pt>
                <c:pt idx="1">
                  <c:v>0.00394319463024518</c:v>
                </c:pt>
                <c:pt idx="2">
                  <c:v>0.00561082215377019</c:v>
                </c:pt>
                <c:pt idx="3">
                  <c:v>0.00901604856644828</c:v>
                </c:pt>
                <c:pt idx="4">
                  <c:v>0.0183948539002664</c:v>
                </c:pt>
                <c:pt idx="5">
                  <c:v>0.0169272266872179</c:v>
                </c:pt>
                <c:pt idx="6">
                  <c:v>0.0286274585731632</c:v>
                </c:pt>
                <c:pt idx="7">
                  <c:v>0.0251539858531876</c:v>
                </c:pt>
                <c:pt idx="8">
                  <c:v>0.0277250527842351</c:v>
                </c:pt>
                <c:pt idx="9">
                  <c:v>0.0289895320992075</c:v>
                </c:pt>
                <c:pt idx="10">
                  <c:v>0.0290819239921627</c:v>
                </c:pt>
                <c:pt idx="11">
                  <c:v>0.0352764794073551</c:v>
                </c:pt>
                <c:pt idx="12">
                  <c:v>0.026004907646171</c:v>
                </c:pt>
                <c:pt idx="13">
                  <c:v>0.0359764436059026</c:v>
                </c:pt>
                <c:pt idx="14">
                  <c:v>0.0347572138697264</c:v>
                </c:pt>
                <c:pt idx="15">
                  <c:v>0.0370455221225134</c:v>
                </c:pt>
                <c:pt idx="16">
                  <c:v>0.0339662476505853</c:v>
                </c:pt>
                <c:pt idx="17">
                  <c:v>0.0343561141828469</c:v>
                </c:pt>
                <c:pt idx="18">
                  <c:v>0.0351011339563626</c:v>
                </c:pt>
              </c:numCache>
            </c:numRef>
          </c:yVal>
          <c:smooth val="0"/>
        </c:ser>
        <c:axId val="44801968"/>
        <c:axId val="5230983"/>
      </c:scatterChart>
      <c:valAx>
        <c:axId val="4480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30983"/>
        <c:crosses val="autoZero"/>
        <c:crossBetween val="midCat"/>
      </c:valAx>
      <c:valAx>
        <c:axId val="52309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80196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RDD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'RDD 3'!$B$1</c:f>
              <c:strCache>
                <c:ptCount val="1"/>
                <c:pt idx="0">
                  <c:v>PST</c:v>
                </c:pt>
              </c:strCache>
            </c:strRef>
          </c:tx>
          <c:spPr>
            <a:solidFill>
              <a:srgbClr val="5983b0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5983b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'RDD 3'!$A$2:$A$29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xVal>
          <c:yVal>
            <c:numRef>
              <c:f>'RDD 3'!$B$2:$B$29</c:f>
              <c:numCache>
                <c:formatCode>General</c:formatCode>
                <c:ptCount val="28"/>
                <c:pt idx="0">
                  <c:v>0.0251539858531876</c:v>
                </c:pt>
                <c:pt idx="1">
                  <c:v>0.0277250527842351</c:v>
                </c:pt>
                <c:pt idx="2">
                  <c:v>0.0289895320992075</c:v>
                </c:pt>
                <c:pt idx="3">
                  <c:v>0.0290819239921627</c:v>
                </c:pt>
                <c:pt idx="4">
                  <c:v>0.0352764794073551</c:v>
                </c:pt>
                <c:pt idx="5">
                  <c:v>0.026004907646171</c:v>
                </c:pt>
                <c:pt idx="6">
                  <c:v>0.0359764436059026</c:v>
                </c:pt>
                <c:pt idx="7">
                  <c:v>0.0347572138697264</c:v>
                </c:pt>
                <c:pt idx="8">
                  <c:v>0.0370455221225134</c:v>
                </c:pt>
                <c:pt idx="9">
                  <c:v>0.0339662476505853</c:v>
                </c:pt>
                <c:pt idx="10">
                  <c:v>0.0343561141828469</c:v>
                </c:pt>
                <c:pt idx="11">
                  <c:v>0.0351011339563626</c:v>
                </c:pt>
                <c:pt idx="12">
                  <c:v>0.0391322028274369</c:v>
                </c:pt>
                <c:pt idx="13">
                  <c:v>0.0425601597992133</c:v>
                </c:pt>
                <c:pt idx="14">
                  <c:v>0.0526487590687488</c:v>
                </c:pt>
                <c:pt idx="15">
                  <c:v>0.0546261915338028</c:v>
                </c:pt>
                <c:pt idx="16">
                  <c:v>0.0646754388932111</c:v>
                </c:pt>
                <c:pt idx="17">
                  <c:v>0.0657501651997631</c:v>
                </c:pt>
                <c:pt idx="18">
                  <c:v>0.0690221634415276</c:v>
                </c:pt>
                <c:pt idx="19">
                  <c:v>0.0694017311548966</c:v>
                </c:pt>
                <c:pt idx="20">
                  <c:v>0.0745236045890851</c:v>
                </c:pt>
                <c:pt idx="21">
                  <c:v>0.0790678970759501</c:v>
                </c:pt>
                <c:pt idx="22">
                  <c:v>0.0914799827826557</c:v>
                </c:pt>
                <c:pt idx="23">
                  <c:v>0.10021839762253</c:v>
                </c:pt>
                <c:pt idx="24">
                  <c:v>0.109476565172768</c:v>
                </c:pt>
                <c:pt idx="25">
                  <c:v>0.130803738300136</c:v>
                </c:pt>
                <c:pt idx="26">
                  <c:v>0.137866880062402</c:v>
                </c:pt>
                <c:pt idx="27">
                  <c:v>0.15996318263543</c:v>
                </c:pt>
              </c:numCache>
            </c:numRef>
          </c:yVal>
          <c:smooth val="0"/>
        </c:ser>
        <c:axId val="17421272"/>
        <c:axId val="71960204"/>
      </c:scatterChart>
      <c:valAx>
        <c:axId val="17421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1960204"/>
        <c:crosses val="autoZero"/>
        <c:crossBetween val="between"/>
      </c:valAx>
      <c:valAx>
        <c:axId val="719602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42127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545400</xdr:colOff>
      <xdr:row>0</xdr:row>
      <xdr:rowOff>85680</xdr:rowOff>
    </xdr:from>
    <xdr:to>
      <xdr:col>9</xdr:col>
      <xdr:colOff>216360</xdr:colOff>
      <xdr:row>13</xdr:row>
      <xdr:rowOff>104760</xdr:rowOff>
    </xdr:to>
    <xdr:graphicFrame>
      <xdr:nvGraphicFramePr>
        <xdr:cNvPr id="0" name=""/>
        <xdr:cNvGraphicFramePr/>
      </xdr:nvGraphicFramePr>
      <xdr:xfrm>
        <a:off x="2983680" y="85680"/>
        <a:ext cx="4547880" cy="213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208080</xdr:colOff>
      <xdr:row>1</xdr:row>
      <xdr:rowOff>105480</xdr:rowOff>
    </xdr:from>
    <xdr:to>
      <xdr:col>9</xdr:col>
      <xdr:colOff>812880</xdr:colOff>
      <xdr:row>14</xdr:row>
      <xdr:rowOff>105480</xdr:rowOff>
    </xdr:to>
    <xdr:graphicFrame>
      <xdr:nvGraphicFramePr>
        <xdr:cNvPr id="1" name=""/>
        <xdr:cNvGraphicFramePr/>
      </xdr:nvGraphicFramePr>
      <xdr:xfrm>
        <a:off x="3459240" y="267840"/>
        <a:ext cx="4668840" cy="211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475920</xdr:colOff>
      <xdr:row>7</xdr:row>
      <xdr:rowOff>67320</xdr:rowOff>
    </xdr:from>
    <xdr:to>
      <xdr:col>9</xdr:col>
      <xdr:colOff>99000</xdr:colOff>
      <xdr:row>20</xdr:row>
      <xdr:rowOff>153000</xdr:rowOff>
    </xdr:to>
    <xdr:graphicFrame>
      <xdr:nvGraphicFramePr>
        <xdr:cNvPr id="2" name=""/>
        <xdr:cNvGraphicFramePr/>
      </xdr:nvGraphicFramePr>
      <xdr:xfrm>
        <a:off x="2914200" y="1204920"/>
        <a:ext cx="4500000" cy="219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A49" activeCellId="0" sqref="A49"/>
    </sheetView>
  </sheetViews>
  <sheetFormatPr defaultColWidth="11.640625" defaultRowHeight="12.8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1" width="8.38"/>
    <col collapsed="false" customWidth="true" hidden="false" outlineLevel="0" max="3" min="3" style="1" width="6.42"/>
    <col collapsed="false" customWidth="true" hidden="false" outlineLevel="0" max="4" min="4" style="1" width="5.46"/>
    <col collapsed="false" customWidth="true" hidden="false" outlineLevel="0" max="5" min="5" style="2" width="14.88"/>
    <col collapsed="false" customWidth="true" hidden="false" outlineLevel="0" max="6" min="6" style="2" width="15.34"/>
    <col collapsed="false" customWidth="true" hidden="false" outlineLevel="0" max="7" min="7" style="2" width="16.6"/>
    <col collapsed="false" customWidth="true" hidden="false" outlineLevel="0" max="8" min="8" style="2" width="7.95"/>
    <col collapsed="false" customWidth="true" hidden="false" outlineLevel="0" max="9" min="9" style="2" width="8.94"/>
    <col collapsed="false" customWidth="true" hidden="false" outlineLevel="0" max="10" min="10" style="2" width="10.19"/>
    <col collapsed="false" customWidth="true" hidden="false" outlineLevel="0" max="11" min="11" style="2" width="8.89"/>
    <col collapsed="false" customWidth="true" hidden="false" outlineLevel="0" max="12" min="12" style="2" width="10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n">
        <v>6936120</v>
      </c>
      <c r="C2" s="1" t="n">
        <v>6098</v>
      </c>
      <c r="D2" s="1" t="n">
        <v>0</v>
      </c>
      <c r="E2" s="2" t="n">
        <f aca="false">SUM(B$2:B2)</f>
        <v>6936120</v>
      </c>
      <c r="F2" s="2" t="n">
        <f aca="false">SUM(C$2:C2)</f>
        <v>6098</v>
      </c>
      <c r="G2" s="2" t="n">
        <f aca="false">SUM(D$2:D2)</f>
        <v>0</v>
      </c>
      <c r="H2" s="3"/>
      <c r="I2" s="3"/>
      <c r="J2" s="3"/>
      <c r="K2" s="4" t="n">
        <v>0</v>
      </c>
      <c r="L2" s="4" t="n">
        <v>0</v>
      </c>
    </row>
    <row r="3" customFormat="false" ht="12.8" hidden="false" customHeight="false" outlineLevel="0" collapsed="false">
      <c r="A3" s="1" t="n">
        <v>1974</v>
      </c>
      <c r="B3" s="2" t="n">
        <v>498117</v>
      </c>
      <c r="C3" s="1" t="n">
        <v>654</v>
      </c>
      <c r="D3" s="2" t="n">
        <v>2</v>
      </c>
      <c r="E3" s="2" t="n">
        <f aca="false">SUM(B$2:B3)</f>
        <v>7434237</v>
      </c>
      <c r="F3" s="2" t="n">
        <f aca="false">SUM(C$2:C3)</f>
        <v>6752</v>
      </c>
      <c r="G3" s="2" t="n">
        <f aca="false">SUM(D$2:D3)</f>
        <v>2</v>
      </c>
      <c r="H3" s="5" t="n">
        <f aca="false">B3/E2</f>
        <v>0.0718149339976817</v>
      </c>
      <c r="I3" s="5" t="n">
        <f aca="false">C3/F2</f>
        <v>0.107248278123975</v>
      </c>
      <c r="J3" s="3"/>
      <c r="K3" s="2" t="n">
        <f aca="false">D3*100/B3</f>
        <v>0.000401512094548068</v>
      </c>
      <c r="L3" s="2" t="n">
        <f aca="false">D3*100/C3</f>
        <v>0.305810397553517</v>
      </c>
    </row>
    <row r="4" customFormat="false" ht="12.8" hidden="false" customHeight="false" outlineLevel="0" collapsed="false">
      <c r="A4" s="1" t="n">
        <v>1975</v>
      </c>
      <c r="B4" s="2" t="n">
        <v>500930</v>
      </c>
      <c r="C4" s="1" t="n">
        <v>640</v>
      </c>
      <c r="D4" s="2" t="n">
        <v>0</v>
      </c>
      <c r="E4" s="2" t="n">
        <f aca="false">SUM(B$2:B4)</f>
        <v>7935167</v>
      </c>
      <c r="F4" s="2" t="n">
        <f aca="false">SUM(C$2:C4)</f>
        <v>7392</v>
      </c>
      <c r="G4" s="2" t="n">
        <f aca="false">SUM(D$2:D4)</f>
        <v>2</v>
      </c>
      <c r="H4" s="5" t="n">
        <f aca="false">B4/E3</f>
        <v>0.0673814945635981</v>
      </c>
      <c r="I4" s="5" t="n">
        <f aca="false">C4/F3</f>
        <v>0.0947867298578199</v>
      </c>
      <c r="J4" s="5" t="n">
        <f aca="false">D4/G3</f>
        <v>0</v>
      </c>
      <c r="K4" s="4" t="n">
        <v>0</v>
      </c>
      <c r="L4" s="4" t="n">
        <v>0</v>
      </c>
    </row>
    <row r="5" customFormat="false" ht="12.8" hidden="false" customHeight="false" outlineLevel="0" collapsed="false">
      <c r="A5" s="1" t="n">
        <v>1976</v>
      </c>
      <c r="B5" s="2" t="n">
        <v>504181</v>
      </c>
      <c r="C5" s="1" t="n">
        <v>666</v>
      </c>
      <c r="D5" s="2" t="n">
        <v>1</v>
      </c>
      <c r="E5" s="2" t="n">
        <f aca="false">SUM(B$2:B5)</f>
        <v>8439348</v>
      </c>
      <c r="F5" s="2" t="n">
        <f aca="false">SUM(C$2:C5)</f>
        <v>8058</v>
      </c>
      <c r="G5" s="2" t="n">
        <f aca="false">SUM(D$2:D5)</f>
        <v>3</v>
      </c>
      <c r="H5" s="5" t="n">
        <f aca="false">B5/E4</f>
        <v>0.063537541175882</v>
      </c>
      <c r="I5" s="5" t="n">
        <f aca="false">C5/F4</f>
        <v>0.0900974025974026</v>
      </c>
      <c r="J5" s="5" t="n">
        <f aca="false">D5/G4</f>
        <v>0.5</v>
      </c>
      <c r="K5" s="2" t="n">
        <f aca="false">D5*100/B5</f>
        <v>0.000198341468639239</v>
      </c>
      <c r="L5" s="2" t="n">
        <f aca="false">D5*100/C5</f>
        <v>0.15015015015015</v>
      </c>
    </row>
    <row r="6" customFormat="false" ht="12.8" hidden="false" customHeight="false" outlineLevel="0" collapsed="false">
      <c r="A6" s="1" t="n">
        <v>1977</v>
      </c>
      <c r="B6" s="2" t="n">
        <v>520390</v>
      </c>
      <c r="C6" s="1" t="n">
        <v>671</v>
      </c>
      <c r="D6" s="2" t="n">
        <v>0</v>
      </c>
      <c r="E6" s="2" t="n">
        <f aca="false">SUM(B$2:B6)</f>
        <v>8959738</v>
      </c>
      <c r="F6" s="2" t="n">
        <f aca="false">SUM(C$2:C6)</f>
        <v>8729</v>
      </c>
      <c r="G6" s="2" t="n">
        <f aca="false">SUM(D$2:D6)</f>
        <v>3</v>
      </c>
      <c r="H6" s="5" t="n">
        <f aca="false">B6/E5</f>
        <v>0.0616623464277098</v>
      </c>
      <c r="I6" s="5" t="n">
        <f aca="false">C6/F5</f>
        <v>0.083271283196823</v>
      </c>
      <c r="J6" s="5" t="n">
        <f aca="false">D6/G5</f>
        <v>0</v>
      </c>
      <c r="K6" s="4" t="n">
        <v>0</v>
      </c>
      <c r="L6" s="4" t="n">
        <v>0</v>
      </c>
    </row>
    <row r="7" customFormat="false" ht="12.8" hidden="false" customHeight="false" outlineLevel="0" collapsed="false">
      <c r="A7" s="1" t="n">
        <v>1978</v>
      </c>
      <c r="B7" s="2" t="n">
        <v>540279</v>
      </c>
      <c r="C7" s="1" t="n">
        <v>868</v>
      </c>
      <c r="D7" s="2" t="n">
        <v>0</v>
      </c>
      <c r="E7" s="2" t="n">
        <f aca="false">SUM(B$2:B7)</f>
        <v>9500017</v>
      </c>
      <c r="F7" s="2" t="n">
        <f aca="false">SUM(C$2:C7)</f>
        <v>9597</v>
      </c>
      <c r="G7" s="2" t="n">
        <f aca="false">SUM(D$2:D7)</f>
        <v>3</v>
      </c>
      <c r="H7" s="5" t="n">
        <f aca="false">B7/E6</f>
        <v>0.0603007587945094</v>
      </c>
      <c r="I7" s="5" t="n">
        <f aca="false">C7/F6</f>
        <v>0.0994386527666399</v>
      </c>
      <c r="J7" s="5" t="n">
        <f aca="false">D7/G6</f>
        <v>0</v>
      </c>
      <c r="K7" s="4" t="n">
        <v>0</v>
      </c>
      <c r="L7" s="4" t="n">
        <v>0</v>
      </c>
    </row>
    <row r="8" customFormat="false" ht="12.8" hidden="false" customHeight="false" outlineLevel="0" collapsed="false">
      <c r="A8" s="1" t="n">
        <v>1979</v>
      </c>
      <c r="B8" s="2" t="n">
        <v>568628</v>
      </c>
      <c r="C8" s="1" t="n">
        <v>1196</v>
      </c>
      <c r="D8" s="2" t="n">
        <v>3</v>
      </c>
      <c r="E8" s="2" t="n">
        <f aca="false">SUM(B$2:B8)</f>
        <v>10068645</v>
      </c>
      <c r="F8" s="2" t="n">
        <f aca="false">SUM(C$2:C8)</f>
        <v>10793</v>
      </c>
      <c r="G8" s="2" t="n">
        <f aca="false">SUM(D$2:D8)</f>
        <v>6</v>
      </c>
      <c r="H8" s="5" t="n">
        <f aca="false">B8/E7</f>
        <v>0.0598554718375767</v>
      </c>
      <c r="I8" s="5" t="n">
        <f aca="false">C8/F7</f>
        <v>0.124622277795144</v>
      </c>
      <c r="J8" s="5" t="n">
        <f aca="false">D8/G7</f>
        <v>1</v>
      </c>
      <c r="K8" s="2" t="n">
        <f aca="false">D8*100/B8</f>
        <v>0.000527585697503465</v>
      </c>
      <c r="L8" s="2" t="n">
        <f aca="false">D8*100/C8</f>
        <v>0.250836120401338</v>
      </c>
    </row>
    <row r="9" customFormat="false" ht="12.8" hidden="false" customHeight="false" outlineLevel="0" collapsed="false">
      <c r="A9" s="1" t="n">
        <v>1980</v>
      </c>
      <c r="B9" s="2" t="n">
        <v>572185</v>
      </c>
      <c r="C9" s="1" t="n">
        <v>1145</v>
      </c>
      <c r="D9" s="2" t="n">
        <v>3</v>
      </c>
      <c r="E9" s="2" t="n">
        <f aca="false">SUM(B$2:B9)</f>
        <v>10640830</v>
      </c>
      <c r="F9" s="2" t="n">
        <f aca="false">SUM(C$2:C9)</f>
        <v>11938</v>
      </c>
      <c r="G9" s="2" t="n">
        <f aca="false">SUM(D$2:D9)</f>
        <v>9</v>
      </c>
      <c r="H9" s="5" t="n">
        <f aca="false">B9/E8</f>
        <v>0.0568284014383266</v>
      </c>
      <c r="I9" s="5" t="n">
        <f aca="false">C9/F8</f>
        <v>0.10608727879181</v>
      </c>
      <c r="J9" s="5" t="n">
        <f aca="false">D9/G8</f>
        <v>0.5</v>
      </c>
      <c r="K9" s="2" t="n">
        <f aca="false">D9*100/B9</f>
        <v>0.000524305949998689</v>
      </c>
      <c r="L9" s="2" t="n">
        <f aca="false">D9*100/C9</f>
        <v>0.262008733624454</v>
      </c>
    </row>
    <row r="10" customFormat="false" ht="12.8" hidden="false" customHeight="false" outlineLevel="0" collapsed="false">
      <c r="A10" s="1" t="n">
        <v>1981</v>
      </c>
      <c r="B10" s="2" t="n">
        <v>594723</v>
      </c>
      <c r="C10" s="1" t="n">
        <v>1154</v>
      </c>
      <c r="D10" s="2" t="n">
        <v>3</v>
      </c>
      <c r="E10" s="2" t="n">
        <f aca="false">SUM(B$2:B10)</f>
        <v>11235553</v>
      </c>
      <c r="F10" s="2" t="n">
        <f aca="false">SUM(C$2:C10)</f>
        <v>13092</v>
      </c>
      <c r="G10" s="2" t="n">
        <f aca="false">SUM(D$2:D10)</f>
        <v>12</v>
      </c>
      <c r="H10" s="5" t="n">
        <f aca="false">B10/E9</f>
        <v>0.0558906589053674</v>
      </c>
      <c r="I10" s="5" t="n">
        <f aca="false">C10/F9</f>
        <v>0.0966661082258335</v>
      </c>
      <c r="J10" s="5" t="n">
        <f aca="false">D10/G9</f>
        <v>0.333333333333333</v>
      </c>
      <c r="K10" s="2" t="n">
        <f aca="false">D10*100/B10</f>
        <v>0.000504436519186243</v>
      </c>
      <c r="L10" s="2" t="n">
        <f aca="false">D10*100/C10</f>
        <v>0.259965337954939</v>
      </c>
    </row>
    <row r="11" customFormat="false" ht="12.8" hidden="false" customHeight="false" outlineLevel="0" collapsed="false">
      <c r="A11" s="1" t="n">
        <v>1982</v>
      </c>
      <c r="B11" s="2" t="n">
        <v>608842</v>
      </c>
      <c r="C11" s="1" t="n">
        <v>1330</v>
      </c>
      <c r="D11" s="2" t="n">
        <v>7</v>
      </c>
      <c r="E11" s="2" t="n">
        <f aca="false">SUM(B$2:B11)</f>
        <v>11844395</v>
      </c>
      <c r="F11" s="2" t="n">
        <f aca="false">SUM(C$2:C11)</f>
        <v>14422</v>
      </c>
      <c r="G11" s="2" t="n">
        <f aca="false">SUM(D$2:D11)</f>
        <v>19</v>
      </c>
      <c r="H11" s="5" t="n">
        <f aca="false">B11/E10</f>
        <v>0.0541888770405871</v>
      </c>
      <c r="I11" s="5" t="n">
        <f aca="false">C11/F10</f>
        <v>0.101588756492515</v>
      </c>
      <c r="J11" s="5" t="n">
        <f aca="false">D11/G10</f>
        <v>0.583333333333333</v>
      </c>
      <c r="K11" s="2" t="n">
        <f aca="false">D11*100/B11</f>
        <v>0.00114972357360366</v>
      </c>
      <c r="L11" s="2" t="n">
        <f aca="false">D11*100/C11</f>
        <v>0.526315789473684</v>
      </c>
    </row>
    <row r="12" customFormat="false" ht="12.8" hidden="false" customHeight="false" outlineLevel="0" collapsed="false">
      <c r="A12" s="1" t="n">
        <v>1983</v>
      </c>
      <c r="B12" s="2" t="n">
        <v>620089</v>
      </c>
      <c r="C12" s="1" t="n">
        <v>1458</v>
      </c>
      <c r="D12" s="2" t="n">
        <v>7</v>
      </c>
      <c r="E12" s="2" t="n">
        <f aca="false">SUM(B$2:B12)</f>
        <v>12464484</v>
      </c>
      <c r="F12" s="2" t="n">
        <f aca="false">SUM(C$2:C12)</f>
        <v>15880</v>
      </c>
      <c r="G12" s="2" t="n">
        <f aca="false">SUM(D$2:D12)</f>
        <v>26</v>
      </c>
      <c r="H12" s="5" t="n">
        <f aca="false">B12/E11</f>
        <v>0.0523529483776926</v>
      </c>
      <c r="I12" s="5" t="n">
        <f aca="false">C12/F11</f>
        <v>0.101095548467619</v>
      </c>
      <c r="J12" s="5" t="n">
        <f aca="false">D12/G11</f>
        <v>0.368421052631579</v>
      </c>
      <c r="K12" s="2" t="n">
        <f aca="false">D12*100/B12</f>
        <v>0.00112887021056655</v>
      </c>
      <c r="L12" s="2" t="n">
        <f aca="false">D12*100/C12</f>
        <v>0.480109739368999</v>
      </c>
    </row>
    <row r="13" customFormat="false" ht="12.8" hidden="false" customHeight="false" outlineLevel="0" collapsed="false">
      <c r="A13" s="1" t="n">
        <v>1984</v>
      </c>
      <c r="B13" s="2" t="n">
        <v>659502</v>
      </c>
      <c r="C13" s="1" t="n">
        <v>1628</v>
      </c>
      <c r="D13" s="2" t="n">
        <v>6</v>
      </c>
      <c r="E13" s="2" t="n">
        <f aca="false">SUM(B$2:B13)</f>
        <v>13123986</v>
      </c>
      <c r="F13" s="2" t="n">
        <f aca="false">SUM(C$2:C13)</f>
        <v>17508</v>
      </c>
      <c r="G13" s="2" t="n">
        <f aca="false">SUM(D$2:D13)</f>
        <v>32</v>
      </c>
      <c r="H13" s="5" t="n">
        <f aca="false">B13/E12</f>
        <v>0.0529104935270485</v>
      </c>
      <c r="I13" s="5" t="n">
        <f aca="false">C13/F12</f>
        <v>0.102518891687657</v>
      </c>
      <c r="J13" s="5" t="n">
        <f aca="false">D13/G12</f>
        <v>0.230769230769231</v>
      </c>
      <c r="K13" s="2" t="n">
        <f aca="false">D13*100/B13</f>
        <v>0.000909777377475732</v>
      </c>
      <c r="L13" s="2" t="n">
        <f aca="false">D13*100/C13</f>
        <v>0.368550368550369</v>
      </c>
    </row>
    <row r="14" customFormat="false" ht="12.8" hidden="false" customHeight="false" outlineLevel="0" collapsed="false">
      <c r="A14" s="1" t="n">
        <v>1985</v>
      </c>
      <c r="B14" s="2" t="n">
        <v>679113</v>
      </c>
      <c r="C14" s="1" t="n">
        <v>1536</v>
      </c>
      <c r="D14" s="2" t="n">
        <v>5</v>
      </c>
      <c r="E14" s="2" t="n">
        <f aca="false">SUM(B$2:B14)</f>
        <v>13803099</v>
      </c>
      <c r="F14" s="2" t="n">
        <f aca="false">SUM(C$2:C14)</f>
        <v>19044</v>
      </c>
      <c r="G14" s="2" t="n">
        <f aca="false">SUM(D$2:D14)</f>
        <v>37</v>
      </c>
      <c r="H14" s="5" t="n">
        <f aca="false">B14/E13</f>
        <v>0.0517459406006681</v>
      </c>
      <c r="I14" s="5" t="n">
        <f aca="false">C14/F13</f>
        <v>0.087731322823852</v>
      </c>
      <c r="J14" s="5" t="n">
        <f aca="false">D14/G13</f>
        <v>0.15625</v>
      </c>
      <c r="K14" s="2" t="n">
        <f aca="false">D14*100/B14</f>
        <v>0.000736254496674338</v>
      </c>
      <c r="L14" s="2" t="n">
        <f aca="false">D14*100/C14</f>
        <v>0.325520833333333</v>
      </c>
    </row>
    <row r="15" customFormat="false" ht="12.8" hidden="false" customHeight="false" outlineLevel="0" collapsed="false">
      <c r="A15" s="1" t="n">
        <v>1986</v>
      </c>
      <c r="B15" s="2" t="n">
        <v>672554</v>
      </c>
      <c r="C15" s="1" t="n">
        <v>1462</v>
      </c>
      <c r="D15" s="2" t="n">
        <v>22</v>
      </c>
      <c r="E15" s="2" t="n">
        <f aca="false">SUM(B$2:B15)</f>
        <v>14475653</v>
      </c>
      <c r="F15" s="2" t="n">
        <f aca="false">SUM(C$2:C15)</f>
        <v>20506</v>
      </c>
      <c r="G15" s="2" t="n">
        <f aca="false">SUM(D$2:D15)</f>
        <v>59</v>
      </c>
      <c r="H15" s="5" t="n">
        <f aca="false">B15/E14</f>
        <v>0.0487248551937503</v>
      </c>
      <c r="I15" s="5" t="n">
        <f aca="false">C15/F14</f>
        <v>0.0767695862213821</v>
      </c>
      <c r="J15" s="5" t="n">
        <f aca="false">D15/G14</f>
        <v>0.594594594594595</v>
      </c>
      <c r="K15" s="2" t="n">
        <f aca="false">D15*100/B15</f>
        <v>0.00327111280283814</v>
      </c>
      <c r="L15" s="2" t="n">
        <f aca="false">D15*100/C15</f>
        <v>1.50478796169631</v>
      </c>
    </row>
    <row r="16" customFormat="false" ht="12.8" hidden="false" customHeight="false" outlineLevel="0" collapsed="false">
      <c r="A16" s="1" t="n">
        <v>1987</v>
      </c>
      <c r="B16" s="2" t="n">
        <v>684724</v>
      </c>
      <c r="C16" s="1" t="n">
        <v>1466</v>
      </c>
      <c r="D16" s="2" t="n">
        <v>27</v>
      </c>
      <c r="E16" s="2" t="n">
        <f aca="false">SUM(B$2:B16)</f>
        <v>15160377</v>
      </c>
      <c r="F16" s="2" t="n">
        <f aca="false">SUM(C$2:C16)</f>
        <v>21972</v>
      </c>
      <c r="G16" s="2" t="n">
        <f aca="false">SUM(D$2:D16)</f>
        <v>86</v>
      </c>
      <c r="H16" s="5" t="n">
        <f aca="false">B16/E15</f>
        <v>0.0473017693916813</v>
      </c>
      <c r="I16" s="5" t="n">
        <f aca="false">C16/F15</f>
        <v>0.0714912708475568</v>
      </c>
      <c r="J16" s="5" t="n">
        <f aca="false">D16/G15</f>
        <v>0.457627118644068</v>
      </c>
      <c r="K16" s="2" t="n">
        <f aca="false">D16*100/B16</f>
        <v>0.00394319463024518</v>
      </c>
      <c r="L16" s="2" t="n">
        <f aca="false">D16*100/C16</f>
        <v>1.84174624829468</v>
      </c>
    </row>
    <row r="17" customFormat="false" ht="12.8" hidden="false" customHeight="false" outlineLevel="0" collapsed="false">
      <c r="A17" s="1" t="n">
        <v>1988</v>
      </c>
      <c r="B17" s="2" t="n">
        <v>712908</v>
      </c>
      <c r="C17" s="1" t="n">
        <v>1795</v>
      </c>
      <c r="D17" s="2" t="n">
        <v>40</v>
      </c>
      <c r="E17" s="2" t="n">
        <f aca="false">SUM(B$2:B17)</f>
        <v>15873285</v>
      </c>
      <c r="F17" s="2" t="n">
        <f aca="false">SUM(C$2:C17)</f>
        <v>23767</v>
      </c>
      <c r="G17" s="2" t="n">
        <f aca="false">SUM(D$2:D17)</f>
        <v>126</v>
      </c>
      <c r="H17" s="5" t="n">
        <f aca="false">B17/E16</f>
        <v>0.0470244242606896</v>
      </c>
      <c r="I17" s="5" t="n">
        <f aca="false">C17/F16</f>
        <v>0.0816948843983252</v>
      </c>
      <c r="J17" s="5" t="n">
        <f aca="false">D17/G16</f>
        <v>0.465116279069767</v>
      </c>
      <c r="K17" s="2" t="n">
        <f aca="false">D17*100/B17</f>
        <v>0.00561082215377019</v>
      </c>
      <c r="L17" s="2" t="n">
        <f aca="false">D17*100/C17</f>
        <v>2.22841225626741</v>
      </c>
    </row>
    <row r="18" customFormat="false" ht="12.8" hidden="false" customHeight="false" outlineLevel="0" collapsed="false">
      <c r="A18" s="1" t="n">
        <v>1989</v>
      </c>
      <c r="B18" s="2" t="n">
        <v>732028</v>
      </c>
      <c r="C18" s="1" t="n">
        <v>1822</v>
      </c>
      <c r="D18" s="2" t="n">
        <v>66</v>
      </c>
      <c r="E18" s="2" t="n">
        <f aca="false">SUM(B$2:B18)</f>
        <v>16605313</v>
      </c>
      <c r="F18" s="2" t="n">
        <f aca="false">SUM(C$2:C18)</f>
        <v>25589</v>
      </c>
      <c r="G18" s="2" t="n">
        <f aca="false">SUM(D$2:D18)</f>
        <v>192</v>
      </c>
      <c r="H18" s="5" t="n">
        <f aca="false">B18/E17</f>
        <v>0.0461169820865687</v>
      </c>
      <c r="I18" s="5" t="n">
        <f aca="false">C18/F17</f>
        <v>0.0766609163966845</v>
      </c>
      <c r="J18" s="5" t="n">
        <f aca="false">D18/G17</f>
        <v>0.523809523809524</v>
      </c>
      <c r="K18" s="2" t="n">
        <f aca="false">D18*100/B18</f>
        <v>0.00901604856644828</v>
      </c>
      <c r="L18" s="2" t="n">
        <f aca="false">D18*100/C18</f>
        <v>3.62239297475302</v>
      </c>
    </row>
    <row r="19" customFormat="false" ht="12.8" hidden="false" customHeight="false" outlineLevel="0" collapsed="false">
      <c r="A19" s="1" t="n">
        <v>1990</v>
      </c>
      <c r="B19" s="2" t="n">
        <v>717592</v>
      </c>
      <c r="C19" s="1" t="n">
        <v>1973</v>
      </c>
      <c r="D19" s="2" t="n">
        <v>132</v>
      </c>
      <c r="E19" s="2" t="n">
        <f aca="false">SUM(B$2:B19)</f>
        <v>17322905</v>
      </c>
      <c r="F19" s="2" t="n">
        <f aca="false">SUM(C$2:C19)</f>
        <v>27562</v>
      </c>
      <c r="G19" s="2" t="n">
        <f aca="false">SUM(D$2:D19)</f>
        <v>324</v>
      </c>
      <c r="H19" s="5" t="n">
        <f aca="false">B19/E18</f>
        <v>0.0432146024588636</v>
      </c>
      <c r="I19" s="5" t="n">
        <f aca="false">C19/F18</f>
        <v>0.0771034428856149</v>
      </c>
      <c r="J19" s="5" t="n">
        <f aca="false">D19/G18</f>
        <v>0.6875</v>
      </c>
      <c r="K19" s="2" t="n">
        <f aca="false">D19*100/B19</f>
        <v>0.0183948539002664</v>
      </c>
      <c r="L19" s="2" t="n">
        <f aca="false">D19*100/C19</f>
        <v>6.69031931069437</v>
      </c>
    </row>
    <row r="20" customFormat="false" ht="12.8" hidden="false" customHeight="false" outlineLevel="0" collapsed="false">
      <c r="A20" s="1" t="n">
        <v>1991</v>
      </c>
      <c r="B20" s="2" t="n">
        <v>726640</v>
      </c>
      <c r="C20" s="1" t="n">
        <v>1856</v>
      </c>
      <c r="D20" s="2" t="n">
        <v>123</v>
      </c>
      <c r="E20" s="2" t="n">
        <f aca="false">SUM(B$2:B20)</f>
        <v>18049545</v>
      </c>
      <c r="F20" s="2" t="n">
        <f aca="false">SUM(C$2:C20)</f>
        <v>29418</v>
      </c>
      <c r="G20" s="2" t="n">
        <f aca="false">SUM(D$2:D20)</f>
        <v>447</v>
      </c>
      <c r="H20" s="5" t="n">
        <f aca="false">B20/E19</f>
        <v>0.0419467750934384</v>
      </c>
      <c r="I20" s="5" t="n">
        <f aca="false">C20/F19</f>
        <v>0.0673390900515202</v>
      </c>
      <c r="J20" s="5" t="n">
        <f aca="false">D20/G19</f>
        <v>0.37962962962963</v>
      </c>
      <c r="K20" s="2" t="n">
        <f aca="false">D20*100/B20</f>
        <v>0.0169272266872179</v>
      </c>
      <c r="L20" s="2" t="n">
        <f aca="false">D20*100/C20</f>
        <v>6.62715517241379</v>
      </c>
    </row>
    <row r="21" customFormat="false" ht="12.8" hidden="false" customHeight="false" outlineLevel="0" collapsed="false">
      <c r="A21" s="1" t="n">
        <v>1992</v>
      </c>
      <c r="B21" s="2" t="n">
        <v>723082</v>
      </c>
      <c r="C21" s="1" t="n">
        <v>2001</v>
      </c>
      <c r="D21" s="2" t="n">
        <v>207</v>
      </c>
      <c r="E21" s="2" t="n">
        <f aca="false">SUM(B$2:B21)</f>
        <v>18772627</v>
      </c>
      <c r="F21" s="2" t="n">
        <f aca="false">SUM(C$2:C21)</f>
        <v>31419</v>
      </c>
      <c r="G21" s="2" t="n">
        <f aca="false">SUM(D$2:D21)</f>
        <v>654</v>
      </c>
      <c r="H21" s="5" t="n">
        <f aca="false">B21/E20</f>
        <v>0.0400609544451121</v>
      </c>
      <c r="I21" s="5" t="n">
        <f aca="false">C21/F20</f>
        <v>0.068019579849072</v>
      </c>
      <c r="J21" s="5" t="n">
        <f aca="false">D21/G20</f>
        <v>0.463087248322148</v>
      </c>
      <c r="K21" s="2" t="n">
        <f aca="false">D21*100/B21</f>
        <v>0.0286274585731632</v>
      </c>
      <c r="L21" s="2" t="n">
        <f aca="false">D21*100/C21</f>
        <v>10.3448275862069</v>
      </c>
    </row>
    <row r="22" customFormat="false" ht="12.8" hidden="false" customHeight="false" outlineLevel="0" collapsed="false">
      <c r="A22" s="1" t="n">
        <v>1993</v>
      </c>
      <c r="B22" s="2" t="n">
        <v>759323</v>
      </c>
      <c r="C22" s="1" t="n">
        <v>2159</v>
      </c>
      <c r="D22" s="2" t="n">
        <v>191</v>
      </c>
      <c r="E22" s="2" t="n">
        <f aca="false">SUM(B$2:B22)</f>
        <v>19531950</v>
      </c>
      <c r="F22" s="2" t="n">
        <f aca="false">SUM(C$2:C22)</f>
        <v>33578</v>
      </c>
      <c r="G22" s="2" t="n">
        <f aca="false">SUM(D$2:D22)</f>
        <v>845</v>
      </c>
      <c r="H22" s="5" t="n">
        <f aca="false">B22/E21</f>
        <v>0.0404484145985535</v>
      </c>
      <c r="I22" s="5" t="n">
        <f aca="false">C22/F21</f>
        <v>0.0687163818071867</v>
      </c>
      <c r="J22" s="5" t="n">
        <f aca="false">D22/G21</f>
        <v>0.292048929663609</v>
      </c>
      <c r="K22" s="2" t="n">
        <f aca="false">D22*100/B22</f>
        <v>0.0251539858531876</v>
      </c>
      <c r="L22" s="2" t="n">
        <f aca="false">D22*100/C22</f>
        <v>8.84668828161186</v>
      </c>
    </row>
    <row r="23" customFormat="false" ht="12.8" hidden="false" customHeight="false" outlineLevel="0" collapsed="false">
      <c r="A23" s="1" t="n">
        <v>1994</v>
      </c>
      <c r="B23" s="2" t="n">
        <v>797113</v>
      </c>
      <c r="C23" s="1" t="n">
        <v>2061</v>
      </c>
      <c r="D23" s="2" t="n">
        <v>221</v>
      </c>
      <c r="E23" s="2" t="n">
        <f aca="false">SUM(B$2:B23)</f>
        <v>20329063</v>
      </c>
      <c r="F23" s="2" t="n">
        <f aca="false">SUM(C$2:C23)</f>
        <v>35639</v>
      </c>
      <c r="G23" s="2" t="n">
        <f aca="false">SUM(D$2:D23)</f>
        <v>1066</v>
      </c>
      <c r="H23" s="5" t="n">
        <f aca="false">B23/E22</f>
        <v>0.0408107229436897</v>
      </c>
      <c r="I23" s="5" t="n">
        <f aca="false">C23/F22</f>
        <v>0.0613794746560248</v>
      </c>
      <c r="J23" s="5" t="n">
        <f aca="false">D23/G22</f>
        <v>0.261538461538462</v>
      </c>
      <c r="K23" s="2" t="n">
        <f aca="false">D23*100/B23</f>
        <v>0.0277250527842351</v>
      </c>
      <c r="L23" s="2" t="n">
        <f aca="false">D23*100/C23</f>
        <v>10.7229500242601</v>
      </c>
    </row>
    <row r="24" customFormat="false" ht="12.8" hidden="false" customHeight="false" outlineLevel="0" collapsed="false">
      <c r="A24" s="1" t="n">
        <v>1995</v>
      </c>
      <c r="B24" s="2" t="n">
        <v>820986</v>
      </c>
      <c r="C24" s="1" t="n">
        <v>2142</v>
      </c>
      <c r="D24" s="2" t="n">
        <v>238</v>
      </c>
      <c r="E24" s="2" t="n">
        <f aca="false">SUM(B$2:B24)</f>
        <v>21150049</v>
      </c>
      <c r="F24" s="2" t="n">
        <f aca="false">SUM(C$2:C24)</f>
        <v>37781</v>
      </c>
      <c r="G24" s="2" t="n">
        <f aca="false">SUM(D$2:D24)</f>
        <v>1304</v>
      </c>
      <c r="H24" s="5" t="n">
        <f aca="false">B24/E23</f>
        <v>0.0403848421346326</v>
      </c>
      <c r="I24" s="5" t="n">
        <f aca="false">C24/F23</f>
        <v>0.0601026964841887</v>
      </c>
      <c r="J24" s="5" t="n">
        <f aca="false">D24/G23</f>
        <v>0.223264540337711</v>
      </c>
      <c r="K24" s="2" t="n">
        <f aca="false">D24*100/B24</f>
        <v>0.0289895320992075</v>
      </c>
      <c r="L24" s="2" t="n">
        <f aca="false">D24*100/C24</f>
        <v>11.1111111111111</v>
      </c>
    </row>
    <row r="25" customFormat="false" ht="12.8" hidden="false" customHeight="false" outlineLevel="0" collapsed="false">
      <c r="A25" s="1" t="n">
        <v>1996</v>
      </c>
      <c r="B25" s="2" t="n">
        <v>942166</v>
      </c>
      <c r="C25" s="1" t="n">
        <v>2466</v>
      </c>
      <c r="D25" s="2" t="n">
        <v>274</v>
      </c>
      <c r="E25" s="2" t="n">
        <f aca="false">SUM(B$2:B25)</f>
        <v>22092215</v>
      </c>
      <c r="F25" s="2" t="n">
        <f aca="false">SUM(C$2:C25)</f>
        <v>40247</v>
      </c>
      <c r="G25" s="2" t="n">
        <f aca="false">SUM(D$2:D25)</f>
        <v>1578</v>
      </c>
      <c r="H25" s="5" t="n">
        <f aca="false">B25/E24</f>
        <v>0.0445467525867198</v>
      </c>
      <c r="I25" s="5" t="n">
        <f aca="false">C25/F24</f>
        <v>0.0652709033641248</v>
      </c>
      <c r="J25" s="5" t="n">
        <f aca="false">D25/G24</f>
        <v>0.210122699386503</v>
      </c>
      <c r="K25" s="2" t="n">
        <f aca="false">D25*100/B25</f>
        <v>0.0290819239921627</v>
      </c>
      <c r="L25" s="2" t="n">
        <f aca="false">D25*100/C25</f>
        <v>11.1111111111111</v>
      </c>
    </row>
    <row r="26" customFormat="false" ht="12.8" hidden="false" customHeight="false" outlineLevel="0" collapsed="false">
      <c r="A26" s="1" t="n">
        <v>1997</v>
      </c>
      <c r="B26" s="2" t="n">
        <v>952476</v>
      </c>
      <c r="C26" s="1" t="n">
        <v>2630</v>
      </c>
      <c r="D26" s="2" t="n">
        <v>336</v>
      </c>
      <c r="E26" s="2" t="n">
        <f aca="false">SUM(B$2:B26)</f>
        <v>23044691</v>
      </c>
      <c r="F26" s="2" t="n">
        <f aca="false">SUM(C$2:C26)</f>
        <v>42877</v>
      </c>
      <c r="G26" s="2" t="n">
        <f aca="false">SUM(D$2:D26)</f>
        <v>1914</v>
      </c>
      <c r="H26" s="5" t="n">
        <f aca="false">B26/E25</f>
        <v>0.0431136488577537</v>
      </c>
      <c r="I26" s="5" t="n">
        <f aca="false">C26/F25</f>
        <v>0.0653464854523318</v>
      </c>
      <c r="J26" s="5" t="n">
        <f aca="false">D26/G25</f>
        <v>0.212927756653992</v>
      </c>
      <c r="K26" s="2" t="n">
        <f aca="false">D26*100/B26</f>
        <v>0.0352764794073551</v>
      </c>
      <c r="L26" s="2" t="n">
        <f aca="false">D26*100/C26</f>
        <v>12.7756653992395</v>
      </c>
    </row>
    <row r="27" customFormat="false" ht="12.8" hidden="false" customHeight="false" outlineLevel="0" collapsed="false">
      <c r="A27" s="1" t="n">
        <v>1998</v>
      </c>
      <c r="B27" s="2" t="n">
        <v>961357</v>
      </c>
      <c r="C27" s="1" t="n">
        <v>2649</v>
      </c>
      <c r="D27" s="2" t="n">
        <v>250</v>
      </c>
      <c r="E27" s="2" t="n">
        <f aca="false">SUM(B$2:B27)</f>
        <v>24006048</v>
      </c>
      <c r="F27" s="2" t="n">
        <f aca="false">SUM(C$2:C27)</f>
        <v>45526</v>
      </c>
      <c r="G27" s="2" t="n">
        <f aca="false">SUM(D$2:D27)</f>
        <v>2164</v>
      </c>
      <c r="H27" s="5" t="n">
        <f aca="false">B27/E26</f>
        <v>0.0417170705391537</v>
      </c>
      <c r="I27" s="5" t="n">
        <f aca="false">C27/F26</f>
        <v>0.0617813746297549</v>
      </c>
      <c r="J27" s="5" t="n">
        <f aca="false">D27/G26</f>
        <v>0.130616509926855</v>
      </c>
      <c r="K27" s="2" t="n">
        <f aca="false">D27*100/B27</f>
        <v>0.026004907646171</v>
      </c>
      <c r="L27" s="2" t="n">
        <f aca="false">D27*100/C27</f>
        <v>9.43752359380899</v>
      </c>
    </row>
    <row r="28" customFormat="false" ht="12.8" hidden="false" customHeight="false" outlineLevel="0" collapsed="false">
      <c r="A28" s="1" t="n">
        <v>1999</v>
      </c>
      <c r="B28" s="2" t="n">
        <v>978418</v>
      </c>
      <c r="C28" s="1" t="n">
        <v>3232</v>
      </c>
      <c r="D28" s="2" t="n">
        <v>352</v>
      </c>
      <c r="E28" s="2" t="n">
        <f aca="false">SUM(B$2:B28)</f>
        <v>24984466</v>
      </c>
      <c r="F28" s="2" t="n">
        <f aca="false">SUM(C$2:C28)</f>
        <v>48758</v>
      </c>
      <c r="G28" s="2" t="n">
        <f aca="false">SUM(D$2:D28)</f>
        <v>2516</v>
      </c>
      <c r="H28" s="5" t="n">
        <f aca="false">B28/E27</f>
        <v>0.0407571458659085</v>
      </c>
      <c r="I28" s="5" t="n">
        <f aca="false">C28/F27</f>
        <v>0.0709923999472829</v>
      </c>
      <c r="J28" s="5" t="n">
        <f aca="false">D28/G27</f>
        <v>0.162661737523105</v>
      </c>
      <c r="K28" s="2" t="n">
        <f aca="false">D28*100/B28</f>
        <v>0.0359764436059026</v>
      </c>
      <c r="L28" s="2" t="n">
        <f aca="false">D28*100/C28</f>
        <v>10.8910891089109</v>
      </c>
    </row>
    <row r="29" customFormat="false" ht="12.8" hidden="false" customHeight="false" outlineLevel="0" collapsed="false">
      <c r="A29" s="1" t="n">
        <v>2000</v>
      </c>
      <c r="B29" s="2" t="n">
        <v>1001231</v>
      </c>
      <c r="C29" s="1" t="n">
        <v>3494</v>
      </c>
      <c r="D29" s="2" t="n">
        <v>348</v>
      </c>
      <c r="E29" s="2" t="n">
        <f aca="false">SUM(B$2:B29)</f>
        <v>25985697</v>
      </c>
      <c r="F29" s="2" t="n">
        <f aca="false">SUM(C$2:C29)</f>
        <v>52252</v>
      </c>
      <c r="G29" s="2" t="n">
        <f aca="false">SUM(D$2:D29)</f>
        <v>2864</v>
      </c>
      <c r="H29" s="5" t="n">
        <f aca="false">B29/E28</f>
        <v>0.0400741404679212</v>
      </c>
      <c r="I29" s="5" t="n">
        <f aca="false">C29/F28</f>
        <v>0.0716600352762624</v>
      </c>
      <c r="J29" s="5" t="n">
        <f aca="false">D29/G28</f>
        <v>0.138314785373609</v>
      </c>
      <c r="K29" s="2" t="n">
        <f aca="false">D29*100/B29</f>
        <v>0.0347572138697264</v>
      </c>
      <c r="L29" s="2" t="n">
        <f aca="false">D29*100/C29</f>
        <v>9.95993131081855</v>
      </c>
    </row>
    <row r="30" customFormat="false" ht="12.8" hidden="false" customHeight="false" outlineLevel="0" collapsed="false">
      <c r="A30" s="1" t="n">
        <v>2001</v>
      </c>
      <c r="B30" s="2" t="n">
        <v>1025765</v>
      </c>
      <c r="C30" s="1" t="n">
        <v>3844</v>
      </c>
      <c r="D30" s="2" t="n">
        <v>380</v>
      </c>
      <c r="E30" s="2" t="n">
        <f aca="false">SUM(B$2:B30)</f>
        <v>27011462</v>
      </c>
      <c r="F30" s="2" t="n">
        <f aca="false">SUM(C$2:C30)</f>
        <v>56096</v>
      </c>
      <c r="G30" s="2" t="n">
        <f aca="false">SUM(D$2:D30)</f>
        <v>3244</v>
      </c>
      <c r="H30" s="5" t="n">
        <f aca="false">B30/E29</f>
        <v>0.0394742153731724</v>
      </c>
      <c r="I30" s="5" t="n">
        <f aca="false">C30/F29</f>
        <v>0.0735665620454719</v>
      </c>
      <c r="J30" s="5" t="n">
        <f aca="false">D30/G29</f>
        <v>0.13268156424581</v>
      </c>
      <c r="K30" s="2" t="n">
        <f aca="false">D30*100/B30</f>
        <v>0.0370455221225134</v>
      </c>
      <c r="L30" s="2" t="n">
        <f aca="false">D30*100/C30</f>
        <v>9.88553590010406</v>
      </c>
    </row>
    <row r="31" customFormat="false" ht="12.8" hidden="false" customHeight="false" outlineLevel="0" collapsed="false">
      <c r="A31" s="1" t="n">
        <v>2002</v>
      </c>
      <c r="B31" s="2" t="n">
        <v>1009826</v>
      </c>
      <c r="C31" s="1" t="n">
        <v>3655</v>
      </c>
      <c r="D31" s="2" t="n">
        <v>343</v>
      </c>
      <c r="E31" s="2" t="n">
        <f aca="false">SUM(B$2:B31)</f>
        <v>28021288</v>
      </c>
      <c r="F31" s="2" t="n">
        <f aca="false">SUM(C$2:C31)</f>
        <v>59751</v>
      </c>
      <c r="G31" s="2" t="n">
        <f aca="false">SUM(D$2:D31)</f>
        <v>3587</v>
      </c>
      <c r="H31" s="5" t="n">
        <f aca="false">B31/E30</f>
        <v>0.0373850922989655</v>
      </c>
      <c r="I31" s="5" t="n">
        <f aca="false">C31/F30</f>
        <v>0.065156160867085</v>
      </c>
      <c r="J31" s="5" t="n">
        <f aca="false">D31/G30</f>
        <v>0.105733662145499</v>
      </c>
      <c r="K31" s="2" t="n">
        <f aca="false">D31*100/B31</f>
        <v>0.0339662476505853</v>
      </c>
      <c r="L31" s="2" t="n">
        <f aca="false">D31*100/C31</f>
        <v>9.3844049247606</v>
      </c>
    </row>
    <row r="32" customFormat="false" ht="12.8" hidden="false" customHeight="false" outlineLevel="0" collapsed="false">
      <c r="A32" s="1" t="n">
        <v>2003</v>
      </c>
      <c r="B32" s="2" t="n">
        <v>995456</v>
      </c>
      <c r="C32" s="1" t="n">
        <v>3611</v>
      </c>
      <c r="D32" s="2" t="n">
        <v>342</v>
      </c>
      <c r="E32" s="2" t="n">
        <f aca="false">SUM(B$2:B32)</f>
        <v>29016744</v>
      </c>
      <c r="F32" s="2" t="n">
        <f aca="false">SUM(C$2:C32)</f>
        <v>63362</v>
      </c>
      <c r="G32" s="2" t="n">
        <f aca="false">SUM(D$2:D32)</f>
        <v>3929</v>
      </c>
      <c r="H32" s="5" t="n">
        <f aca="false">B32/E31</f>
        <v>0.0355249908569513</v>
      </c>
      <c r="I32" s="5" t="n">
        <f aca="false">C32/F31</f>
        <v>0.0604341349935566</v>
      </c>
      <c r="J32" s="5" t="n">
        <f aca="false">D32/G31</f>
        <v>0.0953442988569836</v>
      </c>
      <c r="K32" s="2" t="n">
        <f aca="false">D32*100/B32</f>
        <v>0.0343561141828469</v>
      </c>
      <c r="L32" s="2" t="n">
        <f aca="false">D32*100/C32</f>
        <v>9.47106064801994</v>
      </c>
    </row>
    <row r="33" customFormat="false" ht="12.8" hidden="false" customHeight="false" outlineLevel="0" collapsed="false">
      <c r="A33" s="1" t="n">
        <v>2004</v>
      </c>
      <c r="B33" s="2" t="n">
        <v>1054097</v>
      </c>
      <c r="C33" s="1" t="n">
        <v>3893</v>
      </c>
      <c r="D33" s="2" t="n">
        <v>370</v>
      </c>
      <c r="E33" s="2" t="n">
        <f aca="false">SUM(B$2:B33)</f>
        <v>30070841</v>
      </c>
      <c r="F33" s="2" t="n">
        <f aca="false">SUM(C$2:C33)</f>
        <v>67255</v>
      </c>
      <c r="G33" s="2" t="n">
        <f aca="false">SUM(D$2:D33)</f>
        <v>4299</v>
      </c>
      <c r="H33" s="5" t="n">
        <f aca="false">B33/E32</f>
        <v>0.0363271978413567</v>
      </c>
      <c r="I33" s="5" t="n">
        <f aca="false">C33/F32</f>
        <v>0.0614406110918216</v>
      </c>
      <c r="J33" s="5" t="n">
        <f aca="false">D33/G32</f>
        <v>0.0941715449223721</v>
      </c>
      <c r="K33" s="2" t="n">
        <f aca="false">D33*100/B33</f>
        <v>0.0351011339563626</v>
      </c>
      <c r="L33" s="2" t="n">
        <f aca="false">D33*100/C33</f>
        <v>9.50423837657334</v>
      </c>
    </row>
    <row r="34" customFormat="false" ht="12.8" hidden="false" customHeight="false" outlineLevel="0" collapsed="false">
      <c r="A34" s="1" t="n">
        <v>2005</v>
      </c>
      <c r="B34" s="2" t="n">
        <v>1109061</v>
      </c>
      <c r="C34" s="1" t="n">
        <v>4280</v>
      </c>
      <c r="D34" s="2" t="n">
        <v>434</v>
      </c>
      <c r="E34" s="2" t="n">
        <f aca="false">SUM(B$2:B34)</f>
        <v>31179902</v>
      </c>
      <c r="F34" s="2" t="n">
        <f aca="false">SUM(C$2:C34)</f>
        <v>71535</v>
      </c>
      <c r="G34" s="2" t="n">
        <f aca="false">SUM(D$2:D34)</f>
        <v>4733</v>
      </c>
      <c r="H34" s="5" t="n">
        <f aca="false">B34/E33</f>
        <v>0.0368816089978993</v>
      </c>
      <c r="I34" s="5" t="n">
        <f aca="false">C34/F33</f>
        <v>0.0636383911976805</v>
      </c>
      <c r="J34" s="5" t="n">
        <f aca="false">D34/G33</f>
        <v>0.100953710165155</v>
      </c>
      <c r="K34" s="2" t="n">
        <f aca="false">D34*100/B34</f>
        <v>0.0391322028274369</v>
      </c>
      <c r="L34" s="2" t="n">
        <f aca="false">D34*100/C34</f>
        <v>10.1401869158879</v>
      </c>
    </row>
    <row r="35" customFormat="false" ht="12.8" hidden="false" customHeight="false" outlineLevel="0" collapsed="false">
      <c r="A35" s="1" t="n">
        <v>2006</v>
      </c>
      <c r="B35" s="2" t="n">
        <v>1233548</v>
      </c>
      <c r="C35" s="1" t="n">
        <v>5011</v>
      </c>
      <c r="D35" s="2" t="n">
        <v>525</v>
      </c>
      <c r="E35" s="2" t="n">
        <f aca="false">SUM(B$2:B35)</f>
        <v>32413450</v>
      </c>
      <c r="F35" s="2" t="n">
        <f aca="false">SUM(C$2:C35)</f>
        <v>76546</v>
      </c>
      <c r="G35" s="2" t="n">
        <f aca="false">SUM(D$2:D35)</f>
        <v>5258</v>
      </c>
      <c r="H35" s="5" t="n">
        <f aca="false">B35/E34</f>
        <v>0.0395622795735535</v>
      </c>
      <c r="I35" s="5" t="n">
        <f aca="false">C35/F34</f>
        <v>0.0700496260571748</v>
      </c>
      <c r="J35" s="5" t="n">
        <f aca="false">D35/G34</f>
        <v>0.11092330445806</v>
      </c>
      <c r="K35" s="2" t="n">
        <f aca="false">D35*100/B35</f>
        <v>0.0425601597992133</v>
      </c>
      <c r="L35" s="2" t="n">
        <f aca="false">D35*100/C35</f>
        <v>10.4769507084414</v>
      </c>
    </row>
    <row r="36" customFormat="false" ht="12.8" hidden="false" customHeight="false" outlineLevel="0" collapsed="false">
      <c r="A36" s="1" t="n">
        <v>2007</v>
      </c>
      <c r="B36" s="2" t="n">
        <v>1329566</v>
      </c>
      <c r="C36" s="1" t="n">
        <v>5500</v>
      </c>
      <c r="D36" s="2" t="n">
        <v>700</v>
      </c>
      <c r="E36" s="2" t="n">
        <f aca="false">SUM(B$2:B36)</f>
        <v>33743016</v>
      </c>
      <c r="F36" s="2" t="n">
        <f aca="false">SUM(C$2:C36)</f>
        <v>82046</v>
      </c>
      <c r="G36" s="2" t="n">
        <f aca="false">SUM(D$2:D36)</f>
        <v>5958</v>
      </c>
      <c r="H36" s="5" t="n">
        <f aca="false">B36/E35</f>
        <v>0.0410189597219673</v>
      </c>
      <c r="I36" s="5" t="n">
        <f aca="false">C36/F35</f>
        <v>0.071852219580383</v>
      </c>
      <c r="J36" s="5" t="n">
        <f aca="false">D36/G35</f>
        <v>0.133130467858501</v>
      </c>
      <c r="K36" s="2" t="n">
        <f aca="false">D36*100/B36</f>
        <v>0.0526487590687488</v>
      </c>
      <c r="L36" s="2" t="n">
        <f aca="false">D36*100/C36</f>
        <v>12.7272727272727</v>
      </c>
    </row>
    <row r="37" customFormat="false" ht="12.8" hidden="false" customHeight="false" outlineLevel="0" collapsed="false">
      <c r="A37" s="1" t="n">
        <v>2008</v>
      </c>
      <c r="B37" s="2" t="n">
        <v>1391274</v>
      </c>
      <c r="C37" s="1" t="n">
        <v>6321</v>
      </c>
      <c r="D37" s="2" t="n">
        <v>760</v>
      </c>
      <c r="E37" s="2" t="n">
        <f aca="false">SUM(B$2:B37)</f>
        <v>35134290</v>
      </c>
      <c r="F37" s="2" t="n">
        <f aca="false">SUM(C$2:C37)</f>
        <v>88367</v>
      </c>
      <c r="G37" s="2" t="n">
        <f aca="false">SUM(D$2:D37)</f>
        <v>6718</v>
      </c>
      <c r="H37" s="5" t="n">
        <f aca="false">B37/E36</f>
        <v>0.041231465497927</v>
      </c>
      <c r="I37" s="5" t="n">
        <f aca="false">C37/F36</f>
        <v>0.0770421470882188</v>
      </c>
      <c r="J37" s="5" t="n">
        <f aca="false">D37/G36</f>
        <v>0.127559583752937</v>
      </c>
      <c r="K37" s="2" t="n">
        <f aca="false">D37*100/B37</f>
        <v>0.0546261915338028</v>
      </c>
      <c r="L37" s="2" t="n">
        <f aca="false">D37*100/C37</f>
        <v>12.0234140167695</v>
      </c>
    </row>
    <row r="38" customFormat="false" ht="12.8" hidden="false" customHeight="false" outlineLevel="0" collapsed="false">
      <c r="A38" s="1" t="n">
        <v>2009</v>
      </c>
      <c r="B38" s="2" t="n">
        <v>1478150</v>
      </c>
      <c r="C38" s="1" t="n">
        <v>7712</v>
      </c>
      <c r="D38" s="2" t="n">
        <v>956</v>
      </c>
      <c r="E38" s="2" t="n">
        <f aca="false">SUM(B$2:B38)</f>
        <v>36612440</v>
      </c>
      <c r="F38" s="2" t="n">
        <f aca="false">SUM(C$2:C38)</f>
        <v>96079</v>
      </c>
      <c r="G38" s="2" t="n">
        <f aca="false">SUM(D$2:D38)</f>
        <v>7674</v>
      </c>
      <c r="H38" s="5" t="n">
        <f aca="false">B38/E37</f>
        <v>0.0420714350567494</v>
      </c>
      <c r="I38" s="5" t="n">
        <f aca="false">C38/F37</f>
        <v>0.0872723980671518</v>
      </c>
      <c r="J38" s="5" t="n">
        <f aca="false">D38/G37</f>
        <v>0.142304257219411</v>
      </c>
      <c r="K38" s="2" t="n">
        <f aca="false">D38*100/B38</f>
        <v>0.0646754388932111</v>
      </c>
      <c r="L38" s="2" t="n">
        <f aca="false">D38*100/C38</f>
        <v>12.396265560166</v>
      </c>
    </row>
    <row r="39" customFormat="false" ht="12.8" hidden="false" customHeight="false" outlineLevel="0" collapsed="false">
      <c r="A39" s="1" t="n">
        <v>2010</v>
      </c>
      <c r="B39" s="2" t="n">
        <v>1516346</v>
      </c>
      <c r="C39" s="1" t="n">
        <v>8072</v>
      </c>
      <c r="D39" s="2" t="n">
        <v>997</v>
      </c>
      <c r="E39" s="2" t="n">
        <f aca="false">SUM(B$2:B39)</f>
        <v>38128786</v>
      </c>
      <c r="F39" s="2" t="n">
        <f aca="false">SUM(C$2:C39)</f>
        <v>104151</v>
      </c>
      <c r="G39" s="2" t="n">
        <f aca="false">SUM(D$2:D39)</f>
        <v>8671</v>
      </c>
      <c r="H39" s="5" t="n">
        <f aca="false">B39/E38</f>
        <v>0.0414161416174393</v>
      </c>
      <c r="I39" s="5" t="n">
        <f aca="false">C39/F38</f>
        <v>0.0840141966506729</v>
      </c>
      <c r="J39" s="5" t="n">
        <f aca="false">D39/G38</f>
        <v>0.12991920771436</v>
      </c>
      <c r="K39" s="2" t="n">
        <f aca="false">D39*100/B39</f>
        <v>0.0657501651997631</v>
      </c>
      <c r="L39" s="2" t="n">
        <f aca="false">D39*100/C39</f>
        <v>12.3513379583746</v>
      </c>
    </row>
    <row r="40" customFormat="false" ht="12.8" hidden="false" customHeight="false" outlineLevel="0" collapsed="false">
      <c r="A40" s="1" t="n">
        <v>2011</v>
      </c>
      <c r="B40" s="2" t="n">
        <v>1624116</v>
      </c>
      <c r="C40" s="1" t="n">
        <v>9089</v>
      </c>
      <c r="D40" s="2" t="n">
        <v>1121</v>
      </c>
      <c r="E40" s="2" t="n">
        <f aca="false">SUM(B$2:B40)</f>
        <v>39752902</v>
      </c>
      <c r="F40" s="2" t="n">
        <f aca="false">SUM(C$2:C40)</f>
        <v>113240</v>
      </c>
      <c r="G40" s="2" t="n">
        <f aca="false">SUM(D$2:D40)</f>
        <v>9792</v>
      </c>
      <c r="H40" s="5" t="n">
        <f aca="false">B40/E39</f>
        <v>0.0425955339884149</v>
      </c>
      <c r="I40" s="5" t="n">
        <f aca="false">C40/F39</f>
        <v>0.0872675250357654</v>
      </c>
      <c r="J40" s="5" t="n">
        <f aca="false">D40/G39</f>
        <v>0.129281513089609</v>
      </c>
      <c r="K40" s="2" t="n">
        <f aca="false">D40*100/B40</f>
        <v>0.0690221634415276</v>
      </c>
      <c r="L40" s="2" t="n">
        <f aca="false">D40*100/C40</f>
        <v>12.3335900539113</v>
      </c>
    </row>
    <row r="41" customFormat="false" ht="12.8" hidden="false" customHeight="false" outlineLevel="0" collapsed="false">
      <c r="A41" s="1" t="n">
        <v>2012</v>
      </c>
      <c r="B41" s="2" t="n">
        <v>1697364</v>
      </c>
      <c r="C41" s="1" t="n">
        <v>9431</v>
      </c>
      <c r="D41" s="2" t="n">
        <v>1178</v>
      </c>
      <c r="E41" s="2" t="n">
        <f aca="false">SUM(B$2:B41)</f>
        <v>41450266</v>
      </c>
      <c r="F41" s="2" t="n">
        <f aca="false">SUM(C$2:C41)</f>
        <v>122671</v>
      </c>
      <c r="G41" s="2" t="n">
        <f aca="false">SUM(D$2:D41)</f>
        <v>10970</v>
      </c>
      <c r="H41" s="5" t="n">
        <f aca="false">B41/E40</f>
        <v>0.0426978639194693</v>
      </c>
      <c r="I41" s="5" t="n">
        <f aca="false">C41/F40</f>
        <v>0.0832832921229248</v>
      </c>
      <c r="J41" s="5" t="n">
        <f aca="false">D41/G40</f>
        <v>0.120302287581699</v>
      </c>
      <c r="K41" s="2" t="n">
        <f aca="false">D41*100/B41</f>
        <v>0.0694017311548966</v>
      </c>
      <c r="L41" s="2" t="n">
        <f aca="false">D41*100/C41</f>
        <v>12.4907220867352</v>
      </c>
    </row>
    <row r="42" customFormat="false" ht="12.8" hidden="false" customHeight="false" outlineLevel="0" collapsed="false">
      <c r="A42" s="1" t="n">
        <v>2013</v>
      </c>
      <c r="B42" s="2" t="n">
        <v>1835660</v>
      </c>
      <c r="C42" s="1" t="n">
        <v>10611</v>
      </c>
      <c r="D42" s="2" t="n">
        <v>1368</v>
      </c>
      <c r="E42" s="2" t="n">
        <f aca="false">SUM(B$2:B42)</f>
        <v>43285926</v>
      </c>
      <c r="F42" s="2" t="n">
        <f aca="false">SUM(C$2:C42)</f>
        <v>133282</v>
      </c>
      <c r="G42" s="2" t="n">
        <f aca="false">SUM(D$2:D42)</f>
        <v>12338</v>
      </c>
      <c r="H42" s="5" t="n">
        <f aca="false">B42/E41</f>
        <v>0.0442858436662385</v>
      </c>
      <c r="I42" s="5" t="n">
        <f aca="false">C42/F41</f>
        <v>0.0864996616967335</v>
      </c>
      <c r="J42" s="5" t="n">
        <f aca="false">D42/G41</f>
        <v>0.124703737465816</v>
      </c>
      <c r="K42" s="2" t="n">
        <f aca="false">D42*100/B42</f>
        <v>0.0745236045890851</v>
      </c>
      <c r="L42" s="2" t="n">
        <f aca="false">D42*100/C42</f>
        <v>12.8922815945717</v>
      </c>
    </row>
    <row r="43" customFormat="false" ht="12.8" hidden="false" customHeight="false" outlineLevel="0" collapsed="false">
      <c r="A43" s="1" t="n">
        <v>2014</v>
      </c>
      <c r="B43" s="2" t="n">
        <v>1914810</v>
      </c>
      <c r="C43" s="1" t="n">
        <v>11369</v>
      </c>
      <c r="D43" s="2" t="n">
        <v>1514</v>
      </c>
      <c r="E43" s="2" t="n">
        <f aca="false">SUM(B$2:B43)</f>
        <v>45200736</v>
      </c>
      <c r="F43" s="2" t="n">
        <f aca="false">SUM(C$2:C43)</f>
        <v>144651</v>
      </c>
      <c r="G43" s="2" t="n">
        <f aca="false">SUM(D$2:D43)</f>
        <v>13852</v>
      </c>
      <c r="H43" s="5" t="n">
        <f aca="false">B43/E42</f>
        <v>0.0442363182896907</v>
      </c>
      <c r="I43" s="5" t="n">
        <f aca="false">C43/F42</f>
        <v>0.085300340631143</v>
      </c>
      <c r="J43" s="5" t="n">
        <f aca="false">D43/G42</f>
        <v>0.122710325822662</v>
      </c>
      <c r="K43" s="2" t="n">
        <f aca="false">D43*100/B43</f>
        <v>0.0790678970759501</v>
      </c>
      <c r="L43" s="2" t="n">
        <f aca="false">D43*100/C43</f>
        <v>13.3169144163955</v>
      </c>
    </row>
    <row r="44" customFormat="false" ht="12.8" hidden="false" customHeight="false" outlineLevel="0" collapsed="false">
      <c r="A44" s="1" t="n">
        <v>2015</v>
      </c>
      <c r="B44" s="2" t="n">
        <v>1946874</v>
      </c>
      <c r="C44" s="1" t="n">
        <v>13391</v>
      </c>
      <c r="D44" s="2" t="n">
        <v>1781</v>
      </c>
      <c r="E44" s="2" t="n">
        <f aca="false">SUM(B$2:B44)</f>
        <v>47147610</v>
      </c>
      <c r="F44" s="2" t="n">
        <f aca="false">SUM(C$2:C44)</f>
        <v>158042</v>
      </c>
      <c r="G44" s="2" t="n">
        <f aca="false">SUM(D$2:D44)</f>
        <v>15633</v>
      </c>
      <c r="H44" s="5" t="n">
        <f aca="false">B44/E43</f>
        <v>0.0430717322832973</v>
      </c>
      <c r="I44" s="5" t="n">
        <f aca="false">C44/F43</f>
        <v>0.092574541482603</v>
      </c>
      <c r="J44" s="5" t="n">
        <f aca="false">D44/G43</f>
        <v>0.128573491192608</v>
      </c>
      <c r="K44" s="2" t="n">
        <f aca="false">D44*100/B44</f>
        <v>0.0914799827826557</v>
      </c>
      <c r="L44" s="2" t="n">
        <f aca="false">D44*100/C44</f>
        <v>13.2999775968934</v>
      </c>
    </row>
    <row r="45" customFormat="false" ht="12.8" hidden="false" customHeight="false" outlineLevel="0" collapsed="false">
      <c r="A45" s="1" t="n">
        <v>2016</v>
      </c>
      <c r="B45" s="2" t="n">
        <v>1987659</v>
      </c>
      <c r="C45" s="1" t="n">
        <v>14277</v>
      </c>
      <c r="D45" s="2" t="n">
        <v>1992</v>
      </c>
      <c r="E45" s="2" t="n">
        <f aca="false">SUM(B$2:B45)</f>
        <v>49135269</v>
      </c>
      <c r="F45" s="2" t="n">
        <f aca="false">SUM(C$2:C45)</f>
        <v>172319</v>
      </c>
      <c r="G45" s="2" t="n">
        <f aca="false">SUM(D$2:D45)</f>
        <v>17625</v>
      </c>
      <c r="H45" s="5" t="n">
        <f aca="false">B45/E44</f>
        <v>0.0421582133219478</v>
      </c>
      <c r="I45" s="5" t="n">
        <f aca="false">C45/F44</f>
        <v>0.0903367459282975</v>
      </c>
      <c r="J45" s="5" t="n">
        <f aca="false">D45/G44</f>
        <v>0.127422759547112</v>
      </c>
      <c r="K45" s="2" t="n">
        <f aca="false">D45*100/B45</f>
        <v>0.10021839762253</v>
      </c>
      <c r="L45" s="2" t="n">
        <f aca="false">D45*100/C45</f>
        <v>13.9525110317294</v>
      </c>
    </row>
    <row r="46" customFormat="false" ht="12.8" hidden="false" customHeight="false" outlineLevel="0" collapsed="false">
      <c r="A46" s="1" t="n">
        <v>2017</v>
      </c>
      <c r="B46" s="2" t="n">
        <v>2016870</v>
      </c>
      <c r="C46" s="1" t="n">
        <v>14883</v>
      </c>
      <c r="D46" s="2" t="n">
        <v>2208</v>
      </c>
      <c r="E46" s="2" t="n">
        <f aca="false">SUM(B$2:B46)</f>
        <v>51152139</v>
      </c>
      <c r="F46" s="2" t="n">
        <f aca="false">SUM(C$2:C46)</f>
        <v>187202</v>
      </c>
      <c r="G46" s="2" t="n">
        <f aca="false">SUM(D$2:D46)</f>
        <v>19833</v>
      </c>
      <c r="H46" s="5" t="n">
        <f aca="false">B46/E45</f>
        <v>0.0410472974107458</v>
      </c>
      <c r="I46" s="5" t="n">
        <f aca="false">C46/F45</f>
        <v>0.0863688856133102</v>
      </c>
      <c r="J46" s="5" t="n">
        <f aca="false">D46/G45</f>
        <v>0.125276595744681</v>
      </c>
      <c r="K46" s="2" t="n">
        <f aca="false">D46*100/B46</f>
        <v>0.109476565172768</v>
      </c>
      <c r="L46" s="2" t="n">
        <f aca="false">D46*100/C46</f>
        <v>14.8357186051199</v>
      </c>
    </row>
    <row r="47" customFormat="false" ht="12.8" hidden="false" customHeight="false" outlineLevel="0" collapsed="false">
      <c r="A47" s="1" t="n">
        <v>2018</v>
      </c>
      <c r="B47" s="2" t="n">
        <v>2121499</v>
      </c>
      <c r="C47" s="1" t="n">
        <v>16923</v>
      </c>
      <c r="D47" s="2" t="n">
        <v>2775</v>
      </c>
      <c r="E47" s="2" t="n">
        <f aca="false">SUM(B$2:B47)</f>
        <v>53273638</v>
      </c>
      <c r="F47" s="2" t="n">
        <f aca="false">SUM(C$2:C47)</f>
        <v>204125</v>
      </c>
      <c r="G47" s="2" t="n">
        <f aca="false">SUM(D$2:D47)</f>
        <v>22608</v>
      </c>
      <c r="H47" s="5" t="n">
        <f aca="false">B47/E46</f>
        <v>0.0414742969008588</v>
      </c>
      <c r="I47" s="5" t="n">
        <f aca="false">C47/F46</f>
        <v>0.0903996752171451</v>
      </c>
      <c r="J47" s="5" t="n">
        <f aca="false">D47/G46</f>
        <v>0.139918317954924</v>
      </c>
      <c r="K47" s="2" t="n">
        <f aca="false">D47*100/B47</f>
        <v>0.130803738300136</v>
      </c>
      <c r="L47" s="2" t="n">
        <f aca="false">D47*100/C47</f>
        <v>16.39780180819</v>
      </c>
    </row>
    <row r="48" customFormat="false" ht="12.8" hidden="false" customHeight="false" outlineLevel="0" collapsed="false">
      <c r="A48" s="1" t="n">
        <v>2019</v>
      </c>
      <c r="B48" s="2" t="n">
        <v>2276834</v>
      </c>
      <c r="C48" s="1" t="n">
        <v>18787</v>
      </c>
      <c r="D48" s="2" t="n">
        <v>3139</v>
      </c>
      <c r="E48" s="2" t="n">
        <f aca="false">SUM(B$2:B48)</f>
        <v>55550472</v>
      </c>
      <c r="F48" s="2" t="n">
        <f aca="false">SUM(C$2:C48)</f>
        <v>222912</v>
      </c>
      <c r="G48" s="2" t="n">
        <f aca="false">SUM(D$2:D48)</f>
        <v>25747</v>
      </c>
      <c r="H48" s="5" t="n">
        <f aca="false">B48/E47</f>
        <v>0.0427384741398738</v>
      </c>
      <c r="I48" s="5" t="n">
        <f aca="false">C48/F47</f>
        <v>0.0920367421922841</v>
      </c>
      <c r="J48" s="5" t="n">
        <f aca="false">D48/G47</f>
        <v>0.138844656758669</v>
      </c>
      <c r="K48" s="2" t="n">
        <f aca="false">D48*100/B48</f>
        <v>0.137866880062402</v>
      </c>
      <c r="L48" s="2" t="n">
        <f aca="false">D48*100/C48</f>
        <v>16.7083621653271</v>
      </c>
    </row>
    <row r="49" customFormat="false" ht="12.8" hidden="false" customHeight="false" outlineLevel="0" collapsed="false">
      <c r="A49" s="1" t="n">
        <v>2020</v>
      </c>
      <c r="B49" s="1" t="n">
        <v>2516204</v>
      </c>
      <c r="C49" s="1" t="n">
        <v>20151</v>
      </c>
      <c r="D49" s="2" t="n">
        <v>4025</v>
      </c>
      <c r="E49" s="2" t="n">
        <f aca="false">SUM(B$2:B49)</f>
        <v>58066676</v>
      </c>
      <c r="F49" s="2" t="n">
        <f aca="false">SUM(C$2:C49)</f>
        <v>243063</v>
      </c>
      <c r="G49" s="2" t="n">
        <f aca="false">SUM(D$2:D49)</f>
        <v>29772</v>
      </c>
      <c r="H49" s="5" t="n">
        <f aca="false">B49/E48</f>
        <v>0.0452958167484158</v>
      </c>
      <c r="I49" s="5" t="n">
        <f aca="false">C49/F48</f>
        <v>0.0903989018087855</v>
      </c>
      <c r="J49" s="5" t="n">
        <f aca="false">D49/G48</f>
        <v>0.156328892686527</v>
      </c>
      <c r="K49" s="2" t="n">
        <f aca="false">D49*100/B49</f>
        <v>0.15996318263543</v>
      </c>
      <c r="L49" s="2" t="n">
        <f aca="false">D49*100/C49</f>
        <v>19.9741948290407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2" width="11.52"/>
  </cols>
  <sheetData>
    <row r="1" customFormat="false" ht="12.8" hidden="false" customHeight="false" outlineLevel="0" collapsed="false">
      <c r="A1" s="1" t="s">
        <v>0</v>
      </c>
      <c r="B1" s="2" t="s">
        <v>10</v>
      </c>
      <c r="C1" s="2" t="s">
        <v>13</v>
      </c>
    </row>
    <row r="2" customFormat="false" ht="12.8" hidden="false" customHeight="false" outlineLevel="0" collapsed="false">
      <c r="A2" s="1" t="n">
        <v>1974</v>
      </c>
      <c r="B2" s="2" t="n">
        <v>0.000401512094548068</v>
      </c>
      <c r="C2" s="2" t="s">
        <v>14</v>
      </c>
    </row>
    <row r="3" customFormat="false" ht="12.8" hidden="false" customHeight="false" outlineLevel="0" collapsed="false">
      <c r="A3" s="1" t="n">
        <v>1975</v>
      </c>
      <c r="B3" s="2" t="n">
        <v>0</v>
      </c>
      <c r="C3" s="2" t="s">
        <v>14</v>
      </c>
    </row>
    <row r="4" customFormat="false" ht="12.8" hidden="false" customHeight="false" outlineLevel="0" collapsed="false">
      <c r="A4" s="1" t="n">
        <v>1976</v>
      </c>
      <c r="B4" s="2" t="n">
        <v>0.000198341468639239</v>
      </c>
      <c r="C4" s="2" t="s">
        <v>14</v>
      </c>
    </row>
    <row r="5" customFormat="false" ht="12.8" hidden="false" customHeight="false" outlineLevel="0" collapsed="false">
      <c r="A5" s="1" t="n">
        <v>1977</v>
      </c>
      <c r="B5" s="2" t="n">
        <v>0</v>
      </c>
      <c r="C5" s="2" t="s">
        <v>14</v>
      </c>
    </row>
    <row r="6" customFormat="false" ht="12.8" hidden="false" customHeight="false" outlineLevel="0" collapsed="false">
      <c r="A6" s="1" t="n">
        <v>1978</v>
      </c>
      <c r="B6" s="2" t="n">
        <v>0</v>
      </c>
      <c r="C6" s="2" t="s">
        <v>14</v>
      </c>
    </row>
    <row r="7" customFormat="false" ht="12.8" hidden="false" customHeight="false" outlineLevel="0" collapsed="false">
      <c r="A7" s="1" t="n">
        <v>1979</v>
      </c>
      <c r="B7" s="2" t="n">
        <v>0.000527585697503465</v>
      </c>
      <c r="C7" s="2" t="s">
        <v>14</v>
      </c>
    </row>
    <row r="8" customFormat="false" ht="12.8" hidden="false" customHeight="false" outlineLevel="0" collapsed="false">
      <c r="A8" s="1" t="n">
        <v>1980</v>
      </c>
      <c r="B8" s="2" t="n">
        <v>0.000524305949998689</v>
      </c>
      <c r="C8" s="2" t="s">
        <v>14</v>
      </c>
    </row>
    <row r="9" customFormat="false" ht="12.8" hidden="false" customHeight="false" outlineLevel="0" collapsed="false">
      <c r="A9" s="1" t="n">
        <v>1981</v>
      </c>
      <c r="B9" s="2" t="n">
        <v>0.000504436519186243</v>
      </c>
      <c r="C9" s="2" t="s">
        <v>14</v>
      </c>
    </row>
    <row r="10" customFormat="false" ht="12.8" hidden="false" customHeight="false" outlineLevel="0" collapsed="false">
      <c r="A10" s="1" t="n">
        <v>1982</v>
      </c>
      <c r="B10" s="2" t="n">
        <v>0.00114972357360366</v>
      </c>
      <c r="C10" s="2" t="s">
        <v>14</v>
      </c>
    </row>
    <row r="11" customFormat="false" ht="12.8" hidden="false" customHeight="false" outlineLevel="0" collapsed="false">
      <c r="A11" s="1" t="n">
        <v>1983</v>
      </c>
      <c r="B11" s="2" t="n">
        <v>0.00112887021056655</v>
      </c>
      <c r="C11" s="2" t="s">
        <v>14</v>
      </c>
    </row>
    <row r="12" customFormat="false" ht="12.8" hidden="false" customHeight="false" outlineLevel="0" collapsed="false">
      <c r="A12" s="1" t="n">
        <v>1984</v>
      </c>
      <c r="B12" s="2" t="n">
        <v>0.000909777377475732</v>
      </c>
      <c r="C12" s="2" t="s">
        <v>14</v>
      </c>
    </row>
    <row r="13" customFormat="false" ht="12.8" hidden="false" customHeight="false" outlineLevel="0" collapsed="false">
      <c r="A13" s="1" t="n">
        <v>1985</v>
      </c>
      <c r="B13" s="2" t="n">
        <v>0.000736254496674338</v>
      </c>
      <c r="C13" s="2" t="s">
        <v>14</v>
      </c>
    </row>
    <row r="14" customFormat="false" ht="12.8" hidden="false" customHeight="false" outlineLevel="0" collapsed="false">
      <c r="A14" s="1" t="n">
        <v>1986</v>
      </c>
      <c r="B14" s="2" t="n">
        <v>0.00327111280283814</v>
      </c>
      <c r="C14" s="2" t="s">
        <v>15</v>
      </c>
    </row>
    <row r="15" customFormat="false" ht="12.8" hidden="false" customHeight="false" outlineLevel="0" collapsed="false">
      <c r="A15" s="1" t="n">
        <v>1987</v>
      </c>
      <c r="B15" s="2" t="n">
        <v>0.00394319463024518</v>
      </c>
      <c r="C15" s="2" t="s">
        <v>15</v>
      </c>
    </row>
    <row r="16" customFormat="false" ht="12.8" hidden="false" customHeight="false" outlineLevel="0" collapsed="false">
      <c r="A16" s="1" t="n">
        <v>1988</v>
      </c>
      <c r="B16" s="2" t="n">
        <v>0.00561082215377019</v>
      </c>
      <c r="C16" s="2" t="s">
        <v>15</v>
      </c>
    </row>
    <row r="17" customFormat="false" ht="12.8" hidden="false" customHeight="false" outlineLevel="0" collapsed="false">
      <c r="A17" s="1" t="n">
        <v>1989</v>
      </c>
      <c r="B17" s="2" t="n">
        <v>0.00901604856644828</v>
      </c>
      <c r="C17" s="2" t="s">
        <v>15</v>
      </c>
    </row>
    <row r="18" customFormat="false" ht="12.8" hidden="false" customHeight="false" outlineLevel="0" collapsed="false">
      <c r="A18" s="1" t="n">
        <v>1990</v>
      </c>
      <c r="B18" s="2" t="n">
        <v>0.0183948539002664</v>
      </c>
      <c r="C18" s="2" t="s">
        <v>15</v>
      </c>
    </row>
    <row r="19" customFormat="false" ht="12.8" hidden="false" customHeight="false" outlineLevel="0" collapsed="false">
      <c r="A19" s="1" t="n">
        <v>1991</v>
      </c>
      <c r="B19" s="2" t="n">
        <v>0.0169272266872179</v>
      </c>
      <c r="C19" s="2" t="s">
        <v>15</v>
      </c>
    </row>
    <row r="20" customFormat="false" ht="12.8" hidden="false" customHeight="false" outlineLevel="0" collapsed="false">
      <c r="A20" s="1" t="n">
        <v>1992</v>
      </c>
      <c r="B20" s="2" t="n">
        <v>0.0286274585731632</v>
      </c>
      <c r="C20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10</v>
      </c>
      <c r="C1" s="2" t="s">
        <v>13</v>
      </c>
    </row>
    <row r="2" customFormat="false" ht="12.8" hidden="false" customHeight="false" outlineLevel="0" collapsed="false">
      <c r="A2" s="1" t="n">
        <v>1986</v>
      </c>
      <c r="B2" s="0" t="n">
        <v>0.00327111280283814</v>
      </c>
      <c r="C2" s="0" t="s">
        <v>14</v>
      </c>
    </row>
    <row r="3" customFormat="false" ht="12.8" hidden="false" customHeight="false" outlineLevel="0" collapsed="false">
      <c r="A3" s="1" t="n">
        <v>1987</v>
      </c>
      <c r="B3" s="0" t="n">
        <v>0.00394319463024518</v>
      </c>
      <c r="C3" s="0" t="s">
        <v>14</v>
      </c>
    </row>
    <row r="4" customFormat="false" ht="12.8" hidden="false" customHeight="false" outlineLevel="0" collapsed="false">
      <c r="A4" s="1" t="n">
        <v>1988</v>
      </c>
      <c r="B4" s="0" t="n">
        <v>0.00561082215377019</v>
      </c>
      <c r="C4" s="0" t="s">
        <v>14</v>
      </c>
    </row>
    <row r="5" customFormat="false" ht="12.8" hidden="false" customHeight="false" outlineLevel="0" collapsed="false">
      <c r="A5" s="1" t="n">
        <v>1989</v>
      </c>
      <c r="B5" s="0" t="n">
        <v>0.00901604856644828</v>
      </c>
      <c r="C5" s="0" t="s">
        <v>14</v>
      </c>
    </row>
    <row r="6" customFormat="false" ht="12.8" hidden="false" customHeight="false" outlineLevel="0" collapsed="false">
      <c r="A6" s="1" t="n">
        <v>1990</v>
      </c>
      <c r="B6" s="0" t="n">
        <v>0.0183948539002664</v>
      </c>
      <c r="C6" s="0" t="s">
        <v>14</v>
      </c>
    </row>
    <row r="7" customFormat="false" ht="12.8" hidden="false" customHeight="false" outlineLevel="0" collapsed="false">
      <c r="A7" s="1" t="n">
        <v>1991</v>
      </c>
      <c r="B7" s="0" t="n">
        <v>0.0169272266872179</v>
      </c>
      <c r="C7" s="0" t="s">
        <v>14</v>
      </c>
    </row>
    <row r="8" customFormat="false" ht="12.8" hidden="false" customHeight="false" outlineLevel="0" collapsed="false">
      <c r="A8" s="1" t="n">
        <v>1992</v>
      </c>
      <c r="B8" s="0" t="n">
        <v>0.0286274585731632</v>
      </c>
      <c r="C8" s="0" t="s">
        <v>14</v>
      </c>
    </row>
    <row r="9" customFormat="false" ht="12.8" hidden="false" customHeight="false" outlineLevel="0" collapsed="false">
      <c r="A9" s="1" t="n">
        <v>1993</v>
      </c>
      <c r="B9" s="0" t="n">
        <v>0.0251539858531876</v>
      </c>
      <c r="C9" s="0" t="s">
        <v>15</v>
      </c>
    </row>
    <row r="10" customFormat="false" ht="12.8" hidden="false" customHeight="false" outlineLevel="0" collapsed="false">
      <c r="A10" s="1" t="n">
        <v>1994</v>
      </c>
      <c r="B10" s="0" t="n">
        <v>0.0277250527842351</v>
      </c>
      <c r="C10" s="0" t="s">
        <v>15</v>
      </c>
    </row>
    <row r="11" customFormat="false" ht="12.8" hidden="false" customHeight="false" outlineLevel="0" collapsed="false">
      <c r="A11" s="1" t="n">
        <v>1995</v>
      </c>
      <c r="B11" s="0" t="n">
        <v>0.0289895320992075</v>
      </c>
      <c r="C11" s="0" t="s">
        <v>15</v>
      </c>
    </row>
    <row r="12" customFormat="false" ht="12.8" hidden="false" customHeight="false" outlineLevel="0" collapsed="false">
      <c r="A12" s="1" t="n">
        <v>1996</v>
      </c>
      <c r="B12" s="0" t="n">
        <v>0.0290819239921627</v>
      </c>
      <c r="C12" s="0" t="s">
        <v>15</v>
      </c>
    </row>
    <row r="13" customFormat="false" ht="12.8" hidden="false" customHeight="false" outlineLevel="0" collapsed="false">
      <c r="A13" s="1" t="n">
        <v>1997</v>
      </c>
      <c r="B13" s="0" t="n">
        <v>0.0352764794073551</v>
      </c>
      <c r="C13" s="0" t="s">
        <v>15</v>
      </c>
    </row>
    <row r="14" customFormat="false" ht="12.8" hidden="false" customHeight="false" outlineLevel="0" collapsed="false">
      <c r="A14" s="1" t="n">
        <v>1998</v>
      </c>
      <c r="B14" s="0" t="n">
        <v>0.026004907646171</v>
      </c>
      <c r="C14" s="0" t="s">
        <v>15</v>
      </c>
    </row>
    <row r="15" customFormat="false" ht="12.8" hidden="false" customHeight="false" outlineLevel="0" collapsed="false">
      <c r="A15" s="1" t="n">
        <v>1999</v>
      </c>
      <c r="B15" s="0" t="n">
        <v>0.0359764436059026</v>
      </c>
      <c r="C15" s="0" t="s">
        <v>15</v>
      </c>
    </row>
    <row r="16" customFormat="false" ht="12.8" hidden="false" customHeight="false" outlineLevel="0" collapsed="false">
      <c r="A16" s="1" t="n">
        <v>2000</v>
      </c>
      <c r="B16" s="0" t="n">
        <v>0.0347572138697264</v>
      </c>
      <c r="C16" s="0" t="s">
        <v>15</v>
      </c>
    </row>
    <row r="17" customFormat="false" ht="12.8" hidden="false" customHeight="false" outlineLevel="0" collapsed="false">
      <c r="A17" s="1" t="n">
        <v>2001</v>
      </c>
      <c r="B17" s="0" t="n">
        <v>0.0370455221225134</v>
      </c>
      <c r="C17" s="0" t="s">
        <v>15</v>
      </c>
    </row>
    <row r="18" customFormat="false" ht="12.8" hidden="false" customHeight="false" outlineLevel="0" collapsed="false">
      <c r="A18" s="1" t="n">
        <v>2002</v>
      </c>
      <c r="B18" s="0" t="n">
        <v>0.0339662476505853</v>
      </c>
      <c r="C18" s="0" t="s">
        <v>15</v>
      </c>
    </row>
    <row r="19" customFormat="false" ht="12.8" hidden="false" customHeight="false" outlineLevel="0" collapsed="false">
      <c r="A19" s="1" t="n">
        <v>2003</v>
      </c>
      <c r="B19" s="0" t="n">
        <v>0.0343561141828469</v>
      </c>
      <c r="C19" s="0" t="s">
        <v>15</v>
      </c>
    </row>
    <row r="20" customFormat="false" ht="12.8" hidden="false" customHeight="false" outlineLevel="0" collapsed="false">
      <c r="A20" s="1" t="n">
        <v>2004</v>
      </c>
      <c r="B20" s="0" t="n">
        <v>0.0351011339563626</v>
      </c>
      <c r="C20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zeroHeight="false" outlineLevelRow="0" outlineLevelCol="0"/>
  <cols>
    <col collapsed="false" customWidth="false" hidden="false" outlineLevel="0" max="3" min="1" style="2" width="11.52"/>
  </cols>
  <sheetData>
    <row r="1" customFormat="false" ht="12.8" hidden="false" customHeight="false" outlineLevel="0" collapsed="false">
      <c r="A1" s="1" t="s">
        <v>0</v>
      </c>
      <c r="B1" s="2" t="s">
        <v>10</v>
      </c>
      <c r="C1" s="2" t="s">
        <v>13</v>
      </c>
    </row>
    <row r="2" customFormat="false" ht="12.8" hidden="false" customHeight="false" outlineLevel="0" collapsed="false">
      <c r="A2" s="1" t="n">
        <v>1993</v>
      </c>
      <c r="B2" s="2" t="n">
        <v>0.0251539858531876</v>
      </c>
      <c r="C2" s="2" t="s">
        <v>14</v>
      </c>
    </row>
    <row r="3" customFormat="false" ht="12.8" hidden="false" customHeight="false" outlineLevel="0" collapsed="false">
      <c r="A3" s="1" t="n">
        <v>1994</v>
      </c>
      <c r="B3" s="2" t="n">
        <v>0.0277250527842351</v>
      </c>
      <c r="C3" s="2" t="s">
        <v>14</v>
      </c>
    </row>
    <row r="4" customFormat="false" ht="12.8" hidden="false" customHeight="false" outlineLevel="0" collapsed="false">
      <c r="A4" s="1" t="n">
        <v>1995</v>
      </c>
      <c r="B4" s="2" t="n">
        <v>0.0289895320992075</v>
      </c>
      <c r="C4" s="2" t="s">
        <v>14</v>
      </c>
    </row>
    <row r="5" customFormat="false" ht="12.8" hidden="false" customHeight="false" outlineLevel="0" collapsed="false">
      <c r="A5" s="1" t="n">
        <v>1996</v>
      </c>
      <c r="B5" s="2" t="n">
        <v>0.0290819239921627</v>
      </c>
      <c r="C5" s="2" t="s">
        <v>14</v>
      </c>
    </row>
    <row r="6" customFormat="false" ht="12.8" hidden="false" customHeight="false" outlineLevel="0" collapsed="false">
      <c r="A6" s="1" t="n">
        <v>1997</v>
      </c>
      <c r="B6" s="2" t="n">
        <v>0.0352764794073551</v>
      </c>
      <c r="C6" s="2" t="s">
        <v>14</v>
      </c>
    </row>
    <row r="7" customFormat="false" ht="12.8" hidden="false" customHeight="false" outlineLevel="0" collapsed="false">
      <c r="A7" s="1" t="n">
        <v>1998</v>
      </c>
      <c r="B7" s="2" t="n">
        <v>0.026004907646171</v>
      </c>
      <c r="C7" s="2" t="s">
        <v>14</v>
      </c>
    </row>
    <row r="8" customFormat="false" ht="12.8" hidden="false" customHeight="false" outlineLevel="0" collapsed="false">
      <c r="A8" s="1" t="n">
        <v>1999</v>
      </c>
      <c r="B8" s="2" t="n">
        <v>0.0359764436059026</v>
      </c>
      <c r="C8" s="2" t="s">
        <v>14</v>
      </c>
    </row>
    <row r="9" customFormat="false" ht="12.8" hidden="false" customHeight="false" outlineLevel="0" collapsed="false">
      <c r="A9" s="1" t="n">
        <v>2000</v>
      </c>
      <c r="B9" s="2" t="n">
        <v>0.0347572138697264</v>
      </c>
      <c r="C9" s="2" t="s">
        <v>14</v>
      </c>
    </row>
    <row r="10" customFormat="false" ht="12.8" hidden="false" customHeight="false" outlineLevel="0" collapsed="false">
      <c r="A10" s="1" t="n">
        <v>2001</v>
      </c>
      <c r="B10" s="2" t="n">
        <v>0.0370455221225134</v>
      </c>
      <c r="C10" s="2" t="s">
        <v>14</v>
      </c>
    </row>
    <row r="11" customFormat="false" ht="12.8" hidden="false" customHeight="false" outlineLevel="0" collapsed="false">
      <c r="A11" s="1" t="n">
        <v>2002</v>
      </c>
      <c r="B11" s="2" t="n">
        <v>0.0339662476505853</v>
      </c>
      <c r="C11" s="2" t="s">
        <v>14</v>
      </c>
    </row>
    <row r="12" customFormat="false" ht="12.8" hidden="false" customHeight="false" outlineLevel="0" collapsed="false">
      <c r="A12" s="1" t="n">
        <v>2003</v>
      </c>
      <c r="B12" s="2" t="n">
        <v>0.0343561141828469</v>
      </c>
      <c r="C12" s="2" t="s">
        <v>14</v>
      </c>
    </row>
    <row r="13" customFormat="false" ht="12.8" hidden="false" customHeight="false" outlineLevel="0" collapsed="false">
      <c r="A13" s="1" t="n">
        <v>2004</v>
      </c>
      <c r="B13" s="2" t="n">
        <v>0.0351011339563626</v>
      </c>
      <c r="C13" s="2" t="s">
        <v>14</v>
      </c>
    </row>
    <row r="14" customFormat="false" ht="12.8" hidden="false" customHeight="false" outlineLevel="0" collapsed="false">
      <c r="A14" s="1" t="n">
        <v>2005</v>
      </c>
      <c r="B14" s="2" t="n">
        <v>0.0391322028274369</v>
      </c>
      <c r="C14" s="2" t="s">
        <v>15</v>
      </c>
    </row>
    <row r="15" customFormat="false" ht="12.8" hidden="false" customHeight="false" outlineLevel="0" collapsed="false">
      <c r="A15" s="1" t="n">
        <v>2006</v>
      </c>
      <c r="B15" s="2" t="n">
        <v>0.0425601597992133</v>
      </c>
      <c r="C15" s="2" t="s">
        <v>15</v>
      </c>
    </row>
    <row r="16" customFormat="false" ht="12.8" hidden="false" customHeight="false" outlineLevel="0" collapsed="false">
      <c r="A16" s="1" t="n">
        <v>2007</v>
      </c>
      <c r="B16" s="2" t="n">
        <v>0.0526487590687488</v>
      </c>
      <c r="C16" s="2" t="s">
        <v>15</v>
      </c>
    </row>
    <row r="17" customFormat="false" ht="12.8" hidden="false" customHeight="false" outlineLevel="0" collapsed="false">
      <c r="A17" s="1" t="n">
        <v>2008</v>
      </c>
      <c r="B17" s="2" t="n">
        <v>0.0546261915338028</v>
      </c>
      <c r="C17" s="2" t="s">
        <v>15</v>
      </c>
    </row>
    <row r="18" customFormat="false" ht="12.8" hidden="false" customHeight="false" outlineLevel="0" collapsed="false">
      <c r="A18" s="1" t="n">
        <v>2009</v>
      </c>
      <c r="B18" s="2" t="n">
        <v>0.0646754388932111</v>
      </c>
      <c r="C18" s="2" t="s">
        <v>15</v>
      </c>
    </row>
    <row r="19" customFormat="false" ht="12.8" hidden="false" customHeight="false" outlineLevel="0" collapsed="false">
      <c r="A19" s="1" t="n">
        <v>2010</v>
      </c>
      <c r="B19" s="2" t="n">
        <v>0.0657501651997631</v>
      </c>
      <c r="C19" s="2" t="s">
        <v>15</v>
      </c>
    </row>
    <row r="20" customFormat="false" ht="12.8" hidden="false" customHeight="false" outlineLevel="0" collapsed="false">
      <c r="A20" s="1" t="n">
        <v>2011</v>
      </c>
      <c r="B20" s="2" t="n">
        <v>0.0690221634415276</v>
      </c>
      <c r="C20" s="2" t="s">
        <v>15</v>
      </c>
    </row>
    <row r="21" customFormat="false" ht="12.8" hidden="false" customHeight="false" outlineLevel="0" collapsed="false">
      <c r="A21" s="1" t="n">
        <v>2012</v>
      </c>
      <c r="B21" s="2" t="n">
        <v>0.0694017311548966</v>
      </c>
      <c r="C21" s="2" t="s">
        <v>15</v>
      </c>
    </row>
    <row r="22" customFormat="false" ht="12.8" hidden="false" customHeight="false" outlineLevel="0" collapsed="false">
      <c r="A22" s="1" t="n">
        <v>2013</v>
      </c>
      <c r="B22" s="2" t="n">
        <v>0.0745236045890851</v>
      </c>
      <c r="C22" s="2" t="s">
        <v>15</v>
      </c>
    </row>
    <row r="23" customFormat="false" ht="12.8" hidden="false" customHeight="false" outlineLevel="0" collapsed="false">
      <c r="A23" s="1" t="n">
        <v>2014</v>
      </c>
      <c r="B23" s="2" t="n">
        <v>0.0790678970759501</v>
      </c>
      <c r="C23" s="2" t="s">
        <v>15</v>
      </c>
    </row>
    <row r="24" customFormat="false" ht="12.8" hidden="false" customHeight="false" outlineLevel="0" collapsed="false">
      <c r="A24" s="1" t="n">
        <v>2015</v>
      </c>
      <c r="B24" s="2" t="n">
        <v>0.0914799827826557</v>
      </c>
      <c r="C24" s="2" t="s">
        <v>15</v>
      </c>
    </row>
    <row r="25" customFormat="false" ht="12.8" hidden="false" customHeight="false" outlineLevel="0" collapsed="false">
      <c r="A25" s="1" t="n">
        <v>2016</v>
      </c>
      <c r="B25" s="2" t="n">
        <v>0.10021839762253</v>
      </c>
      <c r="C25" s="2" t="s">
        <v>15</v>
      </c>
    </row>
    <row r="26" customFormat="false" ht="12.8" hidden="false" customHeight="false" outlineLevel="0" collapsed="false">
      <c r="A26" s="1" t="n">
        <v>2017</v>
      </c>
      <c r="B26" s="2" t="n">
        <v>0.109476565172768</v>
      </c>
      <c r="C26" s="2" t="s">
        <v>15</v>
      </c>
    </row>
    <row r="27" customFormat="false" ht="12.8" hidden="false" customHeight="false" outlineLevel="0" collapsed="false">
      <c r="A27" s="1" t="n">
        <v>2018</v>
      </c>
      <c r="B27" s="2" t="n">
        <v>0.130803738300136</v>
      </c>
      <c r="C27" s="2" t="s">
        <v>15</v>
      </c>
    </row>
    <row r="28" customFormat="false" ht="12.8" hidden="false" customHeight="false" outlineLevel="0" collapsed="false">
      <c r="A28" s="1" t="n">
        <v>2019</v>
      </c>
      <c r="B28" s="2" t="n">
        <v>0.137866880062402</v>
      </c>
      <c r="C28" s="2" t="s">
        <v>15</v>
      </c>
    </row>
    <row r="29" customFormat="false" ht="12.8" hidden="false" customHeight="false" outlineLevel="0" collapsed="false">
      <c r="A29" s="1" t="n">
        <v>2020</v>
      </c>
      <c r="B29" s="2" t="n">
        <v>0.15996318263543</v>
      </c>
      <c r="C29" s="2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LibreOffice/7.1.4.2$Linux_X86_64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2021-01-25T16:44:28Z</dcterms:created>
  <dc:creator/>
  <dc:description/>
  <dc:language>es-AR</dc:language>
  <cp:lastModifiedBy/>
  <dcterms:modified xsi:type="dcterms:W3CDTF">2021-06-25T16:08:30Z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